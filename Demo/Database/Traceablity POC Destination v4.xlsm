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Working\Vis4Ag\Database\"/>
    </mc:Choice>
  </mc:AlternateContent>
  <bookViews>
    <workbookView xWindow="0" yWindow="0" windowWidth="23070" windowHeight="11610" activeTab="3"/>
  </bookViews>
  <sheets>
    <sheet name="Containers" sheetId="1" r:id="rId1"/>
    <sheet name="Log" sheetId="9" r:id="rId2"/>
    <sheet name="Loads" sheetId="2" r:id="rId3"/>
    <sheet name="UnloadEvent" sheetId="5" r:id="rId4"/>
    <sheet name="Sheet3" sheetId="13" r:id="rId5"/>
    <sheet name="TransferEvents" sheetId="3" r:id="rId6"/>
    <sheet name="LoadEvent" sheetId="6" r:id="rId7"/>
    <sheet name="Control" sheetId="8" r:id="rId8"/>
    <sheet name="Sheet1" sheetId="7" r:id="rId9"/>
    <sheet name="UUID List" sheetId="4" r:id="rId10"/>
    <sheet name="Dryer Use Case" sheetId="10" r:id="rId11"/>
    <sheet name="All to Elevator Use Case" sheetId="11" r:id="rId12"/>
  </sheets>
  <definedNames>
    <definedName name="ROCKETSLED_VisTraceability_TransferEvent" localSheetId="4" hidden="1">Sheet3!$A$1:$N$3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J55" i="6" l="1"/>
  <c r="J56" i="6" s="1"/>
  <c r="A4" i="7" l="1"/>
  <c r="T19" i="3" l="1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T2" i="3"/>
  <c r="U19" i="3" l="1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U2" i="3"/>
  <c r="E2" i="2" l="1"/>
  <c r="G6" i="1" l="1"/>
</calcChain>
</file>

<file path=xl/connections.xml><?xml version="1.0" encoding="utf-8"?>
<connections xmlns="http://schemas.openxmlformats.org/spreadsheetml/2006/main">
  <connection id="1" odcFile="C:\Users\Sean Hughes\Documents\My Data Sources\ROCKETSLED VisTraceability TransferEvent.odc" keepAlive="1" name="ROCKETSLED VisTraceability TransferEvent" type="5" refreshedVersion="5" background="1" saveData="1">
    <dbPr connection="Provider=SQLOLEDB.1;Integrated Security=SSPI;Persist Security Info=True;Initial Catalog=VisTraceability;Data Source=ROCKETSLED;Use Procedure for Prepare=1;Auto Translate=True;Packet Size=4096;Workstation ID=ROCKETSLED;Use Encryption for Data=False;Tag with column collation when possible=False" command="&quot;VisTraceability&quot;.&quot;dbo&quot;.&quot;TransferEvent&quot;" commandType="3"/>
  </connection>
</connections>
</file>

<file path=xl/sharedStrings.xml><?xml version="1.0" encoding="utf-8"?>
<sst xmlns="http://schemas.openxmlformats.org/spreadsheetml/2006/main" count="1314" uniqueCount="467">
  <si>
    <t>ContainerID</t>
  </si>
  <si>
    <t>ContainerTypeEnum</t>
  </si>
  <si>
    <t>Name</t>
  </si>
  <si>
    <t>ContainerTransfers</t>
  </si>
  <si>
    <t>LocationGLN</t>
  </si>
  <si>
    <t>ContainerActions</t>
  </si>
  <si>
    <t>NA</t>
  </si>
  <si>
    <t>Key</t>
  </si>
  <si>
    <t>Gleaner S8</t>
  </si>
  <si>
    <t>Maurer Trailer</t>
  </si>
  <si>
    <t>TransferEventID</t>
  </si>
  <si>
    <t>TImeLog</t>
  </si>
  <si>
    <t>TimeLogSummary</t>
  </si>
  <si>
    <t>TransferMethod Enum</t>
  </si>
  <si>
    <t>StartTime</t>
  </si>
  <si>
    <t>StartTimeLat</t>
  </si>
  <si>
    <t>StartTimeLon</t>
  </si>
  <si>
    <t>EndTimeLat</t>
  </si>
  <si>
    <t>EndTimeLon</t>
  </si>
  <si>
    <t>EndTime</t>
  </si>
  <si>
    <t>MaterialProductID</t>
  </si>
  <si>
    <t>Quantity</t>
  </si>
  <si>
    <t>QuanitityUnits</t>
  </si>
  <si>
    <t>TransferRate</t>
  </si>
  <si>
    <t>MaterialPropertie(s) TBD</t>
  </si>
  <si>
    <t>TransferRateUnits</t>
  </si>
  <si>
    <t>Area covered for one grain tank</t>
  </si>
  <si>
    <t>Soybean field</t>
  </si>
  <si>
    <t>2013 S77 Gleaner Class VII</t>
  </si>
  <si>
    <t>W6 south of Dales</t>
  </si>
  <si>
    <t>Size</t>
  </si>
  <si>
    <t>SizeUnits</t>
  </si>
  <si>
    <t>Variable</t>
  </si>
  <si>
    <t>Kinze grain cart puchased in  2013 with DigiStar GT460</t>
  </si>
  <si>
    <t>Kinze grain cart puchased in  2011 with DigiStar GT460</t>
  </si>
  <si>
    <t>W6 south of Dales -x</t>
  </si>
  <si>
    <t>2664d8cd-01fd-436b-a5f5-5d444d2b6b42</t>
  </si>
  <si>
    <t>59e59471-df7a-4f6b-8d2d-380591d92633</t>
  </si>
  <si>
    <t>06189b90-9c06-4423-8963-f7746ff4fe97</t>
  </si>
  <si>
    <t>68c8c189-3a3b-4fe6-b91c-25207fe6ef02</t>
  </si>
  <si>
    <t>c36ccd94-8187-4dc1-b2f9-c5f36de2d38b</t>
  </si>
  <si>
    <t>ca857eab-cbd8-4735-b1da-cd6c494b2eee</t>
  </si>
  <si>
    <t>8543e4b4-5575-4b46-835c-1c1f4d96c4d8</t>
  </si>
  <si>
    <t>c643b0a2-5cd7-440f-8e65-2af9add5194d</t>
  </si>
  <si>
    <t>a7ab5218-a514-49d9-9647-84a395f14981</t>
  </si>
  <si>
    <t>6061253e-98d0-4d48-ac51-27ebf2642870</t>
  </si>
  <si>
    <t>31b222a4-9ac7-4d5e-aa30-7b631aab8799</t>
  </si>
  <si>
    <t>0afd50a1-81f6-4ae1-a85e-19d46686603d</t>
  </si>
  <si>
    <t>ff291032-b327-4f98-8395-f0d0c3d0eb2c</t>
  </si>
  <si>
    <t>619df7f6-703b-49ef-94f6-fa32eecccbbb</t>
  </si>
  <si>
    <t>a37ae075-009a-4d0d-a12d-6d73e1ebd755</t>
  </si>
  <si>
    <t>d6ad2b13-9bed-4082-a3c8-39fbd15fc484</t>
  </si>
  <si>
    <t>8704f8ac-049e-4c86-9450-c7fefb566ffb</t>
  </si>
  <si>
    <t>5f40d8d6-d04b-4c2f-bd4c-9ab4ba985516</t>
  </si>
  <si>
    <t>4cb87265-4471-4de8-958b-93401a7b35f6</t>
  </si>
  <si>
    <t>adf1b56a-592b-4e19-b771-9a2ec749db62</t>
  </si>
  <si>
    <t>454f61f1-7c0c-4f6a-92d3-b85198a1909d</t>
  </si>
  <si>
    <t>bee4fb2c-9b31-4017-8ec3-a418800833d6</t>
  </si>
  <si>
    <t>54110ae5-c238-4ad6-84a6-5bb198b95b73</t>
  </si>
  <si>
    <t>f74b6647-1043-48cc-b722-7e0dd1a503aa</t>
  </si>
  <si>
    <t>d765bea6-a36e-4b28-856b-954785b2048f</t>
  </si>
  <si>
    <t>e388500e-da4b-40f1-a4d6-f14d6584eac7</t>
  </si>
  <si>
    <t>09bcba2d-20a3-4fc4-9a82-b0742ee4859a</t>
  </si>
  <si>
    <t>67392b7f-a8c1-4471-811c-37fafcdc0a8c</t>
  </si>
  <si>
    <t>0f710198-2391-4a4e-a2b2-97d12b51bd65</t>
  </si>
  <si>
    <t>3e83d86a-bcae-46ad-a798-e35ae21164b1</t>
  </si>
  <si>
    <t>UnloadEvent ID</t>
  </si>
  <si>
    <t>TransferEvent ID</t>
  </si>
  <si>
    <t>LoadID</t>
  </si>
  <si>
    <t>Description</t>
  </si>
  <si>
    <t>TransferType</t>
  </si>
  <si>
    <t>LoadType</t>
  </si>
  <si>
    <t>Start Time</t>
  </si>
  <si>
    <t>End Time</t>
  </si>
  <si>
    <t>Material/ProductID</t>
  </si>
  <si>
    <t>ed07b834-4eee-44b5-a0e6-5252ea6a0335</t>
  </si>
  <si>
    <t>ca9e9008-b109-49bf-aadf-707cdd52fa82</t>
  </si>
  <si>
    <t>cf27d0d7-c58a-4baf-8acc-79b0c1c7895d</t>
  </si>
  <si>
    <t>f72b6aa1-7503-4b12-85f4-a14aecc18c9a</t>
  </si>
  <si>
    <t>be57ce7c-e6d8-4a68-8579-3dfb6a0b79f6</t>
  </si>
  <si>
    <t>f58844b1-a63c-4e3a-9a4c-133454fc6949</t>
  </si>
  <si>
    <t>367c254a-4356-4729-9e2f-f3746320502f</t>
  </si>
  <si>
    <t>8df94649-4d9e-4050-9c0d-42c65e507290</t>
  </si>
  <si>
    <t>ff578424-4236-435f-80bc-09805a1c67c7</t>
  </si>
  <si>
    <t>251c2411-1308-40d9-909e-6c13ec0633ce</t>
  </si>
  <si>
    <t>51cfeb49-4b41-46ab-9c2d-194c737a6d1d</t>
  </si>
  <si>
    <t>51301cf8-fba1-4c31-a000-4fb0c040ebcc</t>
  </si>
  <si>
    <t>0b9caea0-7eaf-45c4-b9a4-e7a6408d1ba9</t>
  </si>
  <si>
    <t>fc2e39a0-a10c-4d3f-85ed-eefc78965381</t>
  </si>
  <si>
    <t>4f1dbbd3-5d09-422c-8065-faa320c3781c</t>
  </si>
  <si>
    <t>1d42ab4c-d519-48dd-a9a5-7f35c7fc649c</t>
  </si>
  <si>
    <t>399b55fa-7fac-494d-b3af-77544906d2ce</t>
  </si>
  <si>
    <t>f84e9e91-b269-4c3e-b301-b4d75323d6bb</t>
  </si>
  <si>
    <t>09356d17-bf76-4eca-8aa8-55535c509d07</t>
  </si>
  <si>
    <t>00e7415b-3dae-403d-9622-f55ff32d5eec</t>
  </si>
  <si>
    <t>bc62c37d-61ec-401b-a2ba-5b76cfb37d01</t>
  </si>
  <si>
    <t>49160af3-3eca-4b27-b983-b02c1c8bd9f8</t>
  </si>
  <si>
    <t>fff5bed3-d9cb-4078-b50c-52dffc40cd9d</t>
  </si>
  <si>
    <t>495fc4e9-f825-4fcb-a4d4-d8c1545d83d6</t>
  </si>
  <si>
    <t>410392a8-b25a-4d05-ab3c-7da383942130</t>
  </si>
  <si>
    <t>9ef99e95-ee74-4c58-adb5-d59bef5f2bc8</t>
  </si>
  <si>
    <t>5a35e46f-4e1c-4e21-acd6-8b9abbb7c7e0</t>
  </si>
  <si>
    <t>24b4235a-1609-400e-8b3c-0cd8ec806a7f</t>
  </si>
  <si>
    <t>9f5308a2-e9f0-45d5-a878-0dc783dc9b39</t>
  </si>
  <si>
    <t>90d8633a-b017-4837-a50f-ea309c5d62cf</t>
  </si>
  <si>
    <t>a43f539f-7b42-4df5-9dfd-b187e676a427</t>
  </si>
  <si>
    <t>221e2de5-2af0-4136-be8b-890fbad3344f</t>
  </si>
  <si>
    <t>45cbf7b3-2fbe-4684-b51b-847b1ed13e86</t>
  </si>
  <si>
    <t>d9c25706-2ddd-40c6-9801-a5e4bf1061a5</t>
  </si>
  <si>
    <t>f414027c-7518-4bfb-b508-5b507a2376b4</t>
  </si>
  <si>
    <t>d99f3058-7410-468f-b602-7b78cca313f4</t>
  </si>
  <si>
    <t>74d9b68a-dad2-4818-8ac1-142d8f38236c</t>
  </si>
  <si>
    <t>e90d2d36-8596-4f43-9bd6-8e83a2ddf350</t>
  </si>
  <si>
    <t>153e6ebb-e128-4f47-adb5-9e5addd00a17</t>
  </si>
  <si>
    <t>cc5914ff-7e24-4c42-bf60-1eba4037936b</t>
  </si>
  <si>
    <t>2a827bf3-90bb-4362-af33-143b05da2a06</t>
  </si>
  <si>
    <t>a7c62762-556c-4e4f-a504-e19d727113a0</t>
  </si>
  <si>
    <t>40b2275b-3069-4cd2-93c3-154bf0e5ff09</t>
  </si>
  <si>
    <t>16fc6cfe-6527-404b-af40-9510a8278b32</t>
  </si>
  <si>
    <t>f7a81a7d-330e-420c-923c-76e4d22f4404</t>
  </si>
  <si>
    <t>daa77adc-8218-4157-96bc-5458eac19ad8</t>
  </si>
  <si>
    <t>c317f0ae-c889-4b6f-934b-c87462c85543</t>
  </si>
  <si>
    <t>541a3e90-35ee-4e1d-a5cf-569c4fd257a7</t>
  </si>
  <si>
    <t>4b13d076-55c5-440f-aaf8-c46ca2f42714</t>
  </si>
  <si>
    <t>8ea7e3f6-9289-43b5-b785-130cc88626cd</t>
  </si>
  <si>
    <t>d2e91eb3-81ce-459e-a5a1-dc229a7f11f7</t>
  </si>
  <si>
    <t>19152060-f054-4fcb-aead-e321db75fd0d</t>
  </si>
  <si>
    <t>c7bad178-21c5-41f1-87ea-c2f405ffadee</t>
  </si>
  <si>
    <t>2bf0647b-f6cc-4bfe-b087-e6e826ac74e8</t>
  </si>
  <si>
    <t>429aa26b-6188-4f40-91fb-4a0f4dbfdb2d</t>
  </si>
  <si>
    <t>cd8ff695-7c35-4c6e-b533-02e4f50b149d</t>
  </si>
  <si>
    <t>13ec09fd-0877-4804-9fc9-fa7b3c1640ab</t>
  </si>
  <si>
    <t>dd91306d-686f-48b4-9f5e-f187746b27a6</t>
  </si>
  <si>
    <t>16f60599-db3a-4a4f-b31e-7e3b19a60a8c</t>
  </si>
  <si>
    <t>9999a732-a2eb-40c5-adc4-1e19f612fa42</t>
  </si>
  <si>
    <t>e6164142-f1d8-41ef-a3e3-130c2f4114e4</t>
  </si>
  <si>
    <t>3695de68-2646-4cf7-862d-c0465589e82e</t>
  </si>
  <si>
    <t>84c80c2b-56e7-4943-9213-db903bb0cd5a</t>
  </si>
  <si>
    <t>43712cd2-5131-4ebc-99e3-6049d9e3e4dc</t>
  </si>
  <si>
    <t>2325946f-adaa-4ce1-a3e1-d6a5f278c156</t>
  </si>
  <si>
    <t>c60ef32c-d4c1-463f-8394-b373d07eb4e2</t>
  </si>
  <si>
    <t>0c3e6289-60cc-4996-bede-7941ab627c47</t>
  </si>
  <si>
    <t>0f1d0510-7572-4ac2-b86f-a0fd2dcf4b39</t>
  </si>
  <si>
    <t>31a30488-9796-43b6-b0cc-ffcddfba2c14</t>
  </si>
  <si>
    <t>2ffcc944-9c45-4eb8-accb-f291d2d2a147</t>
  </si>
  <si>
    <t>a67de9a7-b34f-4ee5-a9ad-f4eb8e6fa8fd</t>
  </si>
  <si>
    <t>88e4a9c5-ad9c-4641-87c7-600776a1fbaf</t>
  </si>
  <si>
    <t>0f346be9-47a9-47d9-be9b-4e0de70f9376</t>
  </si>
  <si>
    <t>b32bb4c7-6604-4ef5-91e2-7f58227829ab</t>
  </si>
  <si>
    <t>c85d0dfa-5be7-433e-9679-2f8cb05c746f</t>
  </si>
  <si>
    <t>5c651c9d-a0ba-4f13-b8a9-a4495c32785c</t>
  </si>
  <si>
    <t>366dd96b-791b-4a0f-a7f7-03bcf905f2b5</t>
  </si>
  <si>
    <t>57b96b05-63e8-4ff3-94d3-e6eb267c1e24</t>
  </si>
  <si>
    <t>3720fd94-bb7a-4c04-b2b4-113232860f9a</t>
  </si>
  <si>
    <t>Time</t>
  </si>
  <si>
    <t>Field of soybeans</t>
  </si>
  <si>
    <t>Soybean harvesting</t>
  </si>
  <si>
    <t>LoadEvent ID</t>
  </si>
  <si>
    <t>bu</t>
  </si>
  <si>
    <t>Wilson 55.kmz</t>
  </si>
  <si>
    <t>Wilson 56.kmz</t>
  </si>
  <si>
    <t>Wilson 57.kmz</t>
  </si>
  <si>
    <t>Wilson 58.kmz</t>
  </si>
  <si>
    <t>Wilson 59.kmz</t>
  </si>
  <si>
    <t>Wilson 60.kmz</t>
  </si>
  <si>
    <t>Wilson 61.kmz</t>
  </si>
  <si>
    <t>Wilson 62.kmz</t>
  </si>
  <si>
    <t>Wilson 63.kmz</t>
  </si>
  <si>
    <t>Wilson 64.kmz</t>
  </si>
  <si>
    <t>Wilson 65.kmz</t>
  </si>
  <si>
    <t>Wilson 66.kmz</t>
  </si>
  <si>
    <t>Wilson 67.kmz</t>
  </si>
  <si>
    <t>Wilson 68.kmz</t>
  </si>
  <si>
    <t>Wilson 69.kmz</t>
  </si>
  <si>
    <t>Wilson 70.kmz</t>
  </si>
  <si>
    <t>Wilson 71.kmz</t>
  </si>
  <si>
    <t>Wilson 72.kmz</t>
  </si>
  <si>
    <t>Unloading combine to 2011 grain cart</t>
  </si>
  <si>
    <t>Unloading combine to 2013 grain cart</t>
  </si>
  <si>
    <t>f26fe5f7-7ae9-49d7-9a7c-52e447ea4973</t>
  </si>
  <si>
    <t>Loading 2013 Kinze from Combine grain tank</t>
  </si>
  <si>
    <t>Loading 2011 Kinze from Combine grain tank</t>
  </si>
  <si>
    <t>Unloading 2013 Kinze to grain trailer</t>
  </si>
  <si>
    <t>Unloading 2011 Kinze to grain trailer</t>
  </si>
  <si>
    <t>Dad's Kinze 851</t>
  </si>
  <si>
    <t>Kinze 851</t>
  </si>
  <si>
    <t>Loading grain trailer from 2013 Kinze</t>
  </si>
  <si>
    <t>Loading grain trailer from 2011 Kinze</t>
  </si>
  <si>
    <t>Total Unload Time</t>
  </si>
  <si>
    <t>Select a Container</t>
  </si>
  <si>
    <t>Select a Load</t>
  </si>
  <si>
    <t>Select a Date Range</t>
  </si>
  <si>
    <t>Select a Business Entity</t>
  </si>
  <si>
    <t>NOT IN POC</t>
  </si>
  <si>
    <t>heet1</t>
  </si>
  <si>
    <t>Maurer Trailer 1</t>
  </si>
  <si>
    <t>Transfer from field to S77 combine</t>
  </si>
  <si>
    <t>Transfer from Combine to 2011 Grain Cart</t>
  </si>
  <si>
    <t>Transfer from Combine to 2013 Grain Cart</t>
  </si>
  <si>
    <t>Transfer from 2013 Kinze Cart to Grain Trailer</t>
  </si>
  <si>
    <t>Transfer from 2011 Kinze Cart to Grain Trailer</t>
  </si>
  <si>
    <t>e13cd4a0-5dbe-4ba1-a9a7-c97104274335</t>
  </si>
  <si>
    <t>a5f08f26-1756-4fef-ad10-d3a6d22618cd</t>
  </si>
  <si>
    <t>c105f428-5cf7-4d37-bd7f-d2e276749510</t>
  </si>
  <si>
    <t>956b7f44-3f49-4927-9449-bc688b7dc801</t>
  </si>
  <si>
    <t>b84303cc-b08a-4382-866d-f0f624966a1a</t>
  </si>
  <si>
    <t>a6c3c70e-e31c-48de-913c-b6f31d786750</t>
  </si>
  <si>
    <t>41a0f4b3-8603-4d5c-bcdb-d4fba3333d83</t>
  </si>
  <si>
    <t>40bffccd-fe3b-4e60-bb1d-463296ab1a72</t>
  </si>
  <si>
    <t>63038019-92f7-402f-a983-8ad247b1dd3d</t>
  </si>
  <si>
    <t>1e23ebf5-8510-49e8-b08c-fea612dc9448</t>
  </si>
  <si>
    <t>a24a85ce-f117-47d3-a931-c317fd893121</t>
  </si>
  <si>
    <t>6f68edf8-b06a-4d22-b9ef-9d82bfee4481</t>
  </si>
  <si>
    <t>b1aca0f6-5328-4c77-ab22-04dc6547b894</t>
  </si>
  <si>
    <t>a956b66e-5aa5-4353-bcd7-29af8e0b398c</t>
  </si>
  <si>
    <t>1f9dc3d4-d9af-48ff-be0c-ec14d7fac202</t>
  </si>
  <si>
    <t>f6aff7cc-c94e-4aca-b4bb-14c083e34f42</t>
  </si>
  <si>
    <t>521ec315-3070-425a-82e4-84d5803616c6</t>
  </si>
  <si>
    <t>895bbea2-7249-476d-81ef-fd5f0082249d</t>
  </si>
  <si>
    <t>7a8a47af-ec3a-481d-9cb6-5d83f4e56cbd</t>
  </si>
  <si>
    <t>36558501-56d9-42a9-a420-97c5992b1364</t>
  </si>
  <si>
    <t>0639a73c-341a-4ca9-b5c7-a2c8ada3f135</t>
  </si>
  <si>
    <t>2f98bf49-68f2-4087-8106-d98697bd2921</t>
  </si>
  <si>
    <t>03197f95-5bb0-4d2f-82e1-9dfd6bef7a17</t>
  </si>
  <si>
    <t>b54545c5-4567-449d-aa4c-e941c7827584</t>
  </si>
  <si>
    <t>1f3a0320-fcd1-4314-baf2-33ae9836a402</t>
  </si>
  <si>
    <t>43e086dc-690c-4c37-a65a-7f9dbb537175</t>
  </si>
  <si>
    <t>c92a1a7e-cd42-41e0-9ea4-70df2dad4315</t>
  </si>
  <si>
    <t>60c4294f-78f7-45f4-ac9f-8e88ddc5de2b</t>
  </si>
  <si>
    <t>ae7ccc88-820d-4856-a0ba-07a1fe29ac95</t>
  </si>
  <si>
    <t>2ace2d9e-d6bd-472c-a63c-bcbe1043d7a9</t>
  </si>
  <si>
    <t>Level</t>
  </si>
  <si>
    <t>Data Element</t>
  </si>
  <si>
    <t>TimeLog</t>
  </si>
  <si>
    <t>Loading combine grain tank</t>
  </si>
  <si>
    <t>Load</t>
  </si>
  <si>
    <t>LoadEvent</t>
  </si>
  <si>
    <t>Transfer Event</t>
  </si>
  <si>
    <t>Unload Event</t>
  </si>
  <si>
    <t>Grain tank on S77 combine -1</t>
  </si>
  <si>
    <t>Grain tank on S77 combine - 2</t>
  </si>
  <si>
    <t>Grain tank on S77 combine - 3</t>
  </si>
  <si>
    <t>Grain tank on S77 combine - 4</t>
  </si>
  <si>
    <t>Grain tank on S77 combine - 5</t>
  </si>
  <si>
    <t>Grain tank on S77 combine - 6</t>
  </si>
  <si>
    <t>Grain tank on S77 combine - 7</t>
  </si>
  <si>
    <t>Grain tank on S77 combine - 8</t>
  </si>
  <si>
    <t>Grain tank on S77 combine - 9</t>
  </si>
  <si>
    <t>Grain tank on S77 combine - 10</t>
  </si>
  <si>
    <t>Grain tank on S77 combine - 11</t>
  </si>
  <si>
    <t>Grain tank on S77 combine - 12</t>
  </si>
  <si>
    <t>Grain tank on S77 combine - 13</t>
  </si>
  <si>
    <t>Grain tank on S77 combine - 14</t>
  </si>
  <si>
    <t xml:space="preserve">Grain tank on S77 combine - 15 </t>
  </si>
  <si>
    <t>Grain tank on S77 combine - 16</t>
  </si>
  <si>
    <t>Grain tank on S77 combine - 17</t>
  </si>
  <si>
    <t>Grain tank on S77 combine - 18</t>
  </si>
  <si>
    <t>UUID</t>
  </si>
  <si>
    <t>End Date/Time</t>
  </si>
  <si>
    <t>Start Time/Date</t>
  </si>
  <si>
    <t>Parent Load</t>
  </si>
  <si>
    <t>Dryer</t>
  </si>
  <si>
    <t>Soybean Meal Processer</t>
  </si>
  <si>
    <t>On-farm 1</t>
  </si>
  <si>
    <t>On Farm Storage</t>
  </si>
  <si>
    <t>Low Temp Dryer</t>
  </si>
  <si>
    <t>Grain Trailer</t>
  </si>
  <si>
    <t>Bunge Oilseed Processing</t>
  </si>
  <si>
    <t>Home Farm Storage</t>
  </si>
  <si>
    <t>home farm Low Temp Dryer</t>
  </si>
  <si>
    <t>Soybean Meal Processor</t>
  </si>
  <si>
    <t>Transfer from 2013 Kinze to Dryer</t>
  </si>
  <si>
    <t>Transfer from 2011 Kinze to Dryer</t>
  </si>
  <si>
    <t>Transfer from 2011 Grain Cart to OnFarm Storage</t>
  </si>
  <si>
    <t>Transfer from 2013 Grain Cart to OnFarm Storage</t>
  </si>
  <si>
    <t>Transfer from Dryer to OnFarm Storage</t>
  </si>
  <si>
    <t>Transfer from Grain Trailer to Soybean Processor</t>
  </si>
  <si>
    <t>fb6923f5-d1b5-48ce-b639-625ae3900fcb</t>
  </si>
  <si>
    <t>2013 Kinze Cart -1</t>
  </si>
  <si>
    <t>2011 Kinze Cart - 1</t>
  </si>
  <si>
    <t>2013 Kinze Cart -2</t>
  </si>
  <si>
    <t>2011 Kinze Cart - 2</t>
  </si>
  <si>
    <t>2013 Kinze Cart - 3</t>
  </si>
  <si>
    <t>2011 Kinze Cart - 3</t>
  </si>
  <si>
    <t>2013 Kinze Cart - 4</t>
  </si>
  <si>
    <t>2011 Kinze Cart - 4</t>
  </si>
  <si>
    <t>2013 Kinze Cart -5</t>
  </si>
  <si>
    <t>2011 Kinze Cart - 6</t>
  </si>
  <si>
    <t>2013 Kinze Cart -7</t>
  </si>
  <si>
    <t>2011 Kinze Cart - 8</t>
  </si>
  <si>
    <t>2011 Kinze Cart - 5</t>
  </si>
  <si>
    <t>2013 Kinze Cart -6</t>
  </si>
  <si>
    <t>2011 Kinze Cart - 7</t>
  </si>
  <si>
    <t>2013 Kinze Cart -8</t>
  </si>
  <si>
    <t>2013 Kinze Cart - 9</t>
  </si>
  <si>
    <t>2011 Kinze Cart - 9</t>
  </si>
  <si>
    <t>Unloading 2013 Kinze to Dryer</t>
  </si>
  <si>
    <t>Unloading 2011 Kinze to Dryer</t>
  </si>
  <si>
    <t>Unloading 2011 Kinze cart to OnFarm Storage</t>
  </si>
  <si>
    <t>Unloading 2013 Kinze cart to OnFarm Storage</t>
  </si>
  <si>
    <t>Unloading 2013 Kinze cart to Dryer</t>
  </si>
  <si>
    <t>Unloading  2011 Kinze Cart to Grain Trailer</t>
  </si>
  <si>
    <t>Unloading 2013 Kinze Cart to  Grain Trailer</t>
  </si>
  <si>
    <t>Loading Dryer from 2011 Kinze</t>
  </si>
  <si>
    <t>Loading Dryer from 2013 Kinze</t>
  </si>
  <si>
    <t>Loading OnFarm Storage from 2011 Kinze Cart</t>
  </si>
  <si>
    <t>Loading OnFarm Storage from 2013 Kinze Cart</t>
  </si>
  <si>
    <t>Loading OnFarm Storage from Dryer</t>
  </si>
  <si>
    <t>Loading Soybean Processor from Grain Trailer 1</t>
  </si>
  <si>
    <t>Loading Soybean Processor from Grain Trailer 2</t>
  </si>
  <si>
    <t>b289ad02-0b16-4699-bebc-c3df7ba0bd41</t>
  </si>
  <si>
    <t>59f2f640-1429-4966-9884-b8523f537ab5</t>
  </si>
  <si>
    <t>0719faae-12f2-46ca-9bf6-6fc41c4fa8fe</t>
  </si>
  <si>
    <t>59231aaa-29f9-4983-b741-6962626de167</t>
  </si>
  <si>
    <t>77f59972-49c6-45d4-90db-f6f140662732</t>
  </si>
  <si>
    <t>c7c0453f-d5ba-43ab-a84b-9609d985ffd3</t>
  </si>
  <si>
    <t>e5bf7313-9d9d-473a-a715-a84551e0238d</t>
  </si>
  <si>
    <t>f30b1b2b-50c5-4286-b710-7ea4cda8acb8</t>
  </si>
  <si>
    <t>99eacc0a-db0d-4008-9ec5-0f64ce5ee5d8</t>
  </si>
  <si>
    <t>25ad7d4a-4043-4f76-8291-224d26565f3e</t>
  </si>
  <si>
    <t>f4126ea8-aa3a-4a58-a730-fd8ff3a229ce</t>
  </si>
  <si>
    <t>35984de9-0997-47ff-81d7-213c3a8aaefb</t>
  </si>
  <si>
    <t>c1d64049-0506-416f-80fc-e1a8b5ef9c3d</t>
  </si>
  <si>
    <t>8fb82e10-7c17-4b25-aa69-7ac102e6cd9d</t>
  </si>
  <si>
    <t>6f7fa2a3-e995-4fe6-9504-736f43f02c88</t>
  </si>
  <si>
    <t>f343459e-af1d-4486-b1e0-b2796fd28e01</t>
  </si>
  <si>
    <t>9c170f51-298f-4911-8869-cf551720f502</t>
  </si>
  <si>
    <t>ec6cabde-2430-4d7d-99ea-d71ae95407cf</t>
  </si>
  <si>
    <t>a3876d97-14eb-4387-aa8a-ea52d6857494</t>
  </si>
  <si>
    <t>7c50eefd-821d-46d4-baa2-0154cdda82fc</t>
  </si>
  <si>
    <t>9f2c3e5e-a2f3-4a96-ac65-989e9603ae00</t>
  </si>
  <si>
    <t>519bbe0a-931d-4bef-aaba-8fc1208407bd</t>
  </si>
  <si>
    <t>db33e730-ae4c-4b78-bd4c-d020a68de36e</t>
  </si>
  <si>
    <t>b1688116-c9f7-44ec-9322-77dcc4f34e1f</t>
  </si>
  <si>
    <t>48d20bd6-74e9-4037-b5c7-63c4b455988c</t>
  </si>
  <si>
    <t>d8db0381-0bbc-4288-a1f6-40d875233a1c</t>
  </si>
  <si>
    <t>dcc3cd72-5bfc-410b-aefb-40836aaf3bb2</t>
  </si>
  <si>
    <t>c6038e54-7cf4-4dc9-8e01-07926e215c1a</t>
  </si>
  <si>
    <t>d4413aab-7e69-41b0-8e60-9359e6d1e9db</t>
  </si>
  <si>
    <t>ddb7d9d8-cf65-4183-ad3b-d81d104594d5</t>
  </si>
  <si>
    <t>594e10cb-bcde-4a91-baa4-1dcef2bedc09</t>
  </si>
  <si>
    <t>c9b7a440-58be-440c-9ab1-765aa56943cf</t>
  </si>
  <si>
    <t>f09b7a4d-0b78-4baa-b8b7-d84f022a9efc</t>
  </si>
  <si>
    <t>927bc9d3-f3ec-4f9f-98d4-482769ae9c7b</t>
  </si>
  <si>
    <t>345c4c7f-45ad-4d13-8898-2b476b951528</t>
  </si>
  <si>
    <t>6ed51455-f7ed-4f5e-8602-58c3b934dc6b</t>
  </si>
  <si>
    <t>94c9104a-6d0f-4d6e-b2f8-ac618847e399</t>
  </si>
  <si>
    <t>17b3a0e1-8c3d-4cbc-aa93-f977bf228b63</t>
  </si>
  <si>
    <t>fa74c838-d2c4-444d-a16d-31c9c034ecec</t>
  </si>
  <si>
    <t>d61749d8-fa9d-4e67-a2ed-de92779a8216</t>
  </si>
  <si>
    <t>a490780e-0fff-4309-9bcd-c011ce82c91b</t>
  </si>
  <si>
    <t>fb7624b0-b76e-4b45-a5df-c1d85d93962c</t>
  </si>
  <si>
    <t>be5c7350-0a5e-4299-97a5-b99eaa7e4464</t>
  </si>
  <si>
    <t>142cfa41-b9d7-493e-bbaf-7c6304400f15</t>
  </si>
  <si>
    <t>eddb36e2-a898-4304-b538-597220ae54c0</t>
  </si>
  <si>
    <t>7c9219a5-4e50-4dd7-9f38-57f173fc7ccb</t>
  </si>
  <si>
    <t>933cdc81-5fff-4ae9-a838-41af1044f7dd</t>
  </si>
  <si>
    <t>91fa958d-f73e-482b-a0ea-5cc8bba4c7ce</t>
  </si>
  <si>
    <t>8a8178b5-d848-4abb-9f58-726d930ca066</t>
  </si>
  <si>
    <t>1f98accf-dca9-43ad-90a8-bce006740b42</t>
  </si>
  <si>
    <t>c591cbc0-7f3c-4b55-b308-b353af130c7c</t>
  </si>
  <si>
    <t>46c82a5a-66b5-48b7-9e24-932202d4f93c</t>
  </si>
  <si>
    <t>4ff2f916-56e1-476e-b446-d3c2ad442e35</t>
  </si>
  <si>
    <t>ba7bdb0b-38e6-4fc6-971b-02bb581f383e</t>
  </si>
  <si>
    <t>2e6212c1-103e-4029-875c-fed6ff8696df</t>
  </si>
  <si>
    <t>8049d301-72c5-454d-8d16-d38b601fcbb4</t>
  </si>
  <si>
    <t>a7a611c6-29cb-4e72-9a31-584d2b501b9d</t>
  </si>
  <si>
    <t>4ae12d68-c87c-4acd-afd1-33f410a150ff</t>
  </si>
  <si>
    <t>9af1cbb8-f839-45c1-8b47-f478a98d77a3</t>
  </si>
  <si>
    <t>7e17e54f-2225-4a08-bf4e-d0de15cfc9a0</t>
  </si>
  <si>
    <t>5dfb4d4c-dfb6-4ec3-957d-a83e53260522</t>
  </si>
  <si>
    <t>31634fd0-255b-4965-a839-613713b354ed</t>
  </si>
  <si>
    <t>f38b25f0-42ce-4810-a1f2-878c29add0da</t>
  </si>
  <si>
    <t>35ecd03c-b398-4d93-a38d-bda4a6d81e21</t>
  </si>
  <si>
    <t>b2780624-157c-4bbd-be8a-f32b71ce66ed</t>
  </si>
  <si>
    <t>5c681c3e-0d9b-4287-967b-063ae67f0782</t>
  </si>
  <si>
    <t>a165796f-9bce-4cc5-90fd-efe26323fd4f</t>
  </si>
  <si>
    <t>9a95f74d-4323-4444-b9f2-9a99056a1059</t>
  </si>
  <si>
    <t>3239ef67-6ac2-4116-a7f1-8c6a9dbdd3f4</t>
  </si>
  <si>
    <t>da96720b-6816-4598-ae65-d1a73a511acc</t>
  </si>
  <si>
    <t>01ad8c89-c843-4034-95fb-672d53f5191d</t>
  </si>
  <si>
    <t>ada294cb-fcf5-46ce-aa6a-c51b864da350</t>
  </si>
  <si>
    <t>e64a5718-8a2f-42a0-a55d-109ea211d55e</t>
  </si>
  <si>
    <t>f6e5ef66-e10c-477f-b283-b8e13235bc82</t>
  </si>
  <si>
    <t>6d5c576a-7c0e-4b8f-9489-8f60cd4ba098</t>
  </si>
  <si>
    <t>8c0e77e4-3de1-4710-b499-fc2c82c78542</t>
  </si>
  <si>
    <t>42ac0eb7-c2ed-4679-aaa4-0fb4d1693968</t>
  </si>
  <si>
    <t>f23ba5df-95ed-445e-ac2a-b93c5ec2bd6f</t>
  </si>
  <si>
    <t>1b7f4ec4-0efa-449f-b9a5-f29389eab88f</t>
  </si>
  <si>
    <t>d6b87663-8883-4843-8bfd-125652ccb089</t>
  </si>
  <si>
    <t>eb8a31c6-6bbc-42c7-a62e-33afa1efe827</t>
  </si>
  <si>
    <t>4c1ac326-a9f1-4484-9235-e7195519d71d</t>
  </si>
  <si>
    <t>5d4ae451-bfee-4b47-b717-018cd81afdb9</t>
  </si>
  <si>
    <t>d57bce56-8bc2-4f68-8816-8d2ba103bdd9</t>
  </si>
  <si>
    <t>7a88dfce-2be8-4e24-8ef8-ddde665dae90</t>
  </si>
  <si>
    <t>d7930b10-c9da-4bda-bb16-e8305e4a5ade</t>
  </si>
  <si>
    <t>896beb65-6558-4eeb-b5ab-38f9080f5e97</t>
  </si>
  <si>
    <t>3f596ead-01fd-4432-b751-696d2dbe4b81</t>
  </si>
  <si>
    <t>5ca325c3-1654-47c9-80c5-ca08a23e6a1e</t>
  </si>
  <si>
    <t>62c50819-483a-481e-9e05-621f92bdf4aa</t>
  </si>
  <si>
    <t>b42148bd-779b-4e7c-a956-851c3f0d5e5d</t>
  </si>
  <si>
    <t>06a5040d-4121-4cf4-a891-cf28db76c0a4</t>
  </si>
  <si>
    <t>ca758d09-d099-432b-a32b-afaa0048f9e4</t>
  </si>
  <si>
    <t>4d014222-ce4d-40e3-b629-4c5e97ce270e</t>
  </si>
  <si>
    <t>c574b97b-87a5-43f3-9923-3cd530600f9f</t>
  </si>
  <si>
    <t>4ba0490b-0dae-4921-ae38-0d39fb4f876f</t>
  </si>
  <si>
    <t>12025c87-6d76-4b73-a7d4-b8c6f5d1cec2</t>
  </si>
  <si>
    <t>e1d9b41f-310d-4137-89cb-aef0b39ec118</t>
  </si>
  <si>
    <t>643e9b7d-8ab7-4d91-99dc-18f952d74e90</t>
  </si>
  <si>
    <t>70f41ef3-936e-4cd1-964d-cb7deec4ac47</t>
  </si>
  <si>
    <t>72999c20-dec1-41ed-95bf-57ef2e35e516</t>
  </si>
  <si>
    <t>a75e6e1a-fdc2-4ddf-b87b-41981e9d2ffc</t>
  </si>
  <si>
    <t>57ad2f04-3338-4f95-9bff-691c01561060</t>
  </si>
  <si>
    <t>d69ce05c-7bbb-4b30-b58b-6f91598f51e5</t>
  </si>
  <si>
    <t>21dd8fc9-1de7-42bf-badb-59449719e90c</t>
  </si>
  <si>
    <t>24173b16-8e17-4b8c-b6e9-cb0fddc87643</t>
  </si>
  <si>
    <t>21d73c94-dff2-4ff6-ab78-be3500725ed4</t>
  </si>
  <si>
    <t>10017fff-0504-4da2-8e1d-0685e74756cf</t>
  </si>
  <si>
    <t>514917d4-70a3-4b3c-98f8-e3d52935f328</t>
  </si>
  <si>
    <t>fcfa92e4-da7e-424e-b086-b4af8a9aeabf</t>
  </si>
  <si>
    <t>f143a48a-ee7d-43c5-8afc-c8f9d59fce61</t>
  </si>
  <si>
    <t>d453ef11-a16a-45ee-9707-a0b98e36c83b</t>
  </si>
  <si>
    <t>fd84222b-d1b4-48de-9da4-d7c716a1a15e</t>
  </si>
  <si>
    <t>377420f5-0146-463d-8c69-5a8bb880b620</t>
  </si>
  <si>
    <t>afd8f634-faf8-44ed-be8e-0e8c8bd22b3a</t>
  </si>
  <si>
    <t>00f29052-5335-49ad-a85f-deb59db578f0</t>
  </si>
  <si>
    <t>5d2a397f-43a7-4464-9569-0229d0c9c8ff</t>
  </si>
  <si>
    <t>56a860ad-30e2-4845-873a-5ff8d4107b81</t>
  </si>
  <si>
    <t>b7b019a3-b955-4e86-a5b4-3f28b7d5de2d</t>
  </si>
  <si>
    <t>528e32a5-995a-44bc-bfa9-26f6c0f4a2f0</t>
  </si>
  <si>
    <t>8e2553a9-fb3a-4d53-8382-ef4f1e2706fd</t>
  </si>
  <si>
    <t>b09228b2-992b-4436-b250-8fa1bcf5486b</t>
  </si>
  <si>
    <t>2d7646ea-8936-4153-a583-533f443622dc</t>
  </si>
  <si>
    <t>5867eef1-1774-45f6-a096-ab330261e667</t>
  </si>
  <si>
    <t>52204260-160a-48d7-b937-7e17e9003724</t>
  </si>
  <si>
    <t>a246d01f-5b6b-4da4-9e7f-d38f012ff1bc</t>
  </si>
  <si>
    <t>daa58d2b-9cae-43e7-bc6f-facf901403ef</t>
  </si>
  <si>
    <t>86056b52-05a9-4023-a444-2222c59ecb01</t>
  </si>
  <si>
    <t>64899f20-e652-4588-92f1-87bfca97f678</t>
  </si>
  <si>
    <t>3c921108-f5f8-4784-85c8-cc83d45a47c1</t>
  </si>
  <si>
    <t>b9cdd36f-3863-4280-9a58-29986a79e45c</t>
  </si>
  <si>
    <t>229930d0-b8ac-4f52-9dfd-eccfc597afc4</t>
  </si>
  <si>
    <t>621b9e43-29b3-4bdd-a9cc-dc066724ec67</t>
  </si>
  <si>
    <t>Seeds per bag</t>
  </si>
  <si>
    <t>seeds per lb</t>
  </si>
  <si>
    <t>lbs per bag</t>
  </si>
  <si>
    <t>Seeds per acre</t>
  </si>
  <si>
    <t>Maurer Trailer 3</t>
  </si>
  <si>
    <t>Maurer Trailer 2</t>
  </si>
  <si>
    <t>Select Trace Type</t>
  </si>
  <si>
    <t>Trace to Source</t>
  </si>
  <si>
    <t>Trace to Destination</t>
  </si>
  <si>
    <t>FSMA</t>
  </si>
  <si>
    <t>Unloading Dryer to OnFarm Storage</t>
  </si>
  <si>
    <t>Unloading Grain Trailer to Soybean Processor</t>
  </si>
  <si>
    <t>TransferTypeID</t>
  </si>
  <si>
    <t>SpatialData</t>
  </si>
  <si>
    <t>TransferMethodID</t>
  </si>
  <si>
    <t>StartLatitude</t>
  </si>
  <si>
    <t>StartLongitude</t>
  </si>
  <si>
    <t>EndLatitude</t>
  </si>
  <si>
    <t>EndLogitude</t>
  </si>
  <si>
    <t>ProductMaterialID</t>
  </si>
  <si>
    <t>QuantityTransferred</t>
  </si>
  <si>
    <t>QuantityUOM</t>
  </si>
  <si>
    <t>TransferUOM</t>
  </si>
  <si>
    <t>EventTypeID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</si>
</sst>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/d/yy\ h:mm\ AM/PM;@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B5F5BB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11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1" fontId="0" fillId="0" borderId="0" xfId="0" applyNumberForma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1" fillId="0" borderId="0" xfId="0" applyFont="1" applyFill="1"/>
    <xf numFmtId="0" fontId="0" fillId="3" borderId="0" xfId="0" applyFill="1"/>
    <xf numFmtId="0" fontId="1" fillId="0" borderId="0" xfId="0" applyFont="1" applyFill="1" applyAlignment="1">
      <alignment horizontal="center"/>
    </xf>
    <xf numFmtId="11" fontId="0" fillId="0" borderId="0" xfId="0" applyNumberFormat="1" applyFill="1"/>
    <xf numFmtId="0" fontId="1" fillId="2" borderId="0" xfId="0" applyFont="1" applyFill="1" applyAlignment="1">
      <alignment horizontal="center"/>
    </xf>
    <xf numFmtId="22" fontId="0" fillId="0" borderId="0" xfId="0" applyNumberFormat="1"/>
    <xf numFmtId="164" fontId="0" fillId="0" borderId="0" xfId="0" applyNumberFormat="1"/>
    <xf numFmtId="0" fontId="1" fillId="4" borderId="0" xfId="0" applyFont="1" applyFill="1" applyAlignment="1">
      <alignment horizontal="center"/>
    </xf>
    <xf numFmtId="164" fontId="1" fillId="4" borderId="0" xfId="0" applyNumberFormat="1" applyFont="1" applyFill="1" applyAlignment="1">
      <alignment horizontal="center" vertical="center"/>
    </xf>
    <xf numFmtId="0" fontId="0" fillId="5" borderId="0" xfId="0" applyFill="1"/>
    <xf numFmtId="0" fontId="0" fillId="0" borderId="3" xfId="0" applyFill="1" applyBorder="1"/>
    <xf numFmtId="0" fontId="0" fillId="6" borderId="0" xfId="0" applyFill="1"/>
    <xf numFmtId="0" fontId="0" fillId="7" borderId="0" xfId="0" applyFill="1"/>
    <xf numFmtId="0" fontId="0" fillId="7" borderId="1" xfId="0" applyFill="1" applyBorder="1"/>
    <xf numFmtId="0" fontId="0" fillId="6" borderId="1" xfId="0" applyFill="1" applyBorder="1"/>
    <xf numFmtId="0" fontId="0" fillId="2" borderId="2" xfId="0" applyFill="1" applyBorder="1"/>
    <xf numFmtId="0" fontId="0" fillId="5" borderId="2" xfId="0" applyFill="1" applyBorder="1"/>
    <xf numFmtId="0" fontId="0" fillId="8" borderId="2" xfId="0" applyFill="1" applyBorder="1"/>
    <xf numFmtId="0" fontId="0" fillId="8" borderId="0" xfId="0" applyFill="1"/>
    <xf numFmtId="0" fontId="0" fillId="0" borderId="0" xfId="0" applyFont="1" applyFill="1" applyAlignment="1">
      <alignment horizontal="left"/>
    </xf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22" fontId="2" fillId="0" borderId="0" xfId="0" applyNumberFormat="1" applyFont="1" applyFill="1"/>
    <xf numFmtId="165" fontId="0" fillId="0" borderId="0" xfId="1" applyNumberFormat="1" applyFont="1" applyFill="1"/>
    <xf numFmtId="22" fontId="0" fillId="0" borderId="0" xfId="0" applyNumberFormat="1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 vertical="center"/>
    </xf>
    <xf numFmtId="0" fontId="0" fillId="0" borderId="0" xfId="0" applyFill="1" applyBorder="1"/>
  </cellXfs>
  <cellStyles count="2">
    <cellStyle name="Normal" xfId="0" builtinId="0"/>
    <cellStyle name="Percent" xfId="1" builtinId="5"/>
  </cellStyles>
  <dxfs count="2">
    <dxf>
      <numFmt numFmtId="27" formatCode="m/d/yyyy\ h:mm"/>
    </dxf>
    <dxf>
      <numFmt numFmtId="27" formatCode="m/d/yyyy\ h:mm"/>
    </dxf>
  </dxfs>
  <tableStyles count="0" defaultTableStyle="TableStyleMedium2" defaultPivotStyle="PivotStyleLight16"/>
  <colors>
    <mruColors>
      <color rgb="FF0000FA"/>
      <color rgb="FFB5F5BB"/>
      <color rgb="FFFFFFAB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6" fmlaRange="Containers!$D$2:$D$9" sel="2" val="0"/>
</file>

<file path=xl/ctrlProps/ctrlProp2.xml><?xml version="1.0" encoding="utf-8"?>
<formControlPr xmlns="http://schemas.microsoft.com/office/spreadsheetml/2009/9/main" objectType="Drop" dropStyle="combo" dx="16" fmlaLink="$D$10" fmlaRange="Loads!$C$2:$C$44" sel="42" val="35"/>
</file>

<file path=xl/ctrlProps/ctrlProp3.xml><?xml version="1.0" encoding="utf-8"?>
<formControlPr xmlns="http://schemas.microsoft.com/office/spreadsheetml/2009/9/main" objectType="Drop" dropStyle="combo" dx="16" fmlaLink="$D$13" fmlaRange="Sheet1!$A$9:$A$11" noThreeD="1" sel="1" val="0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56</xdr:row>
          <xdr:rowOff>0</xdr:rowOff>
        </xdr:from>
        <xdr:to>
          <xdr:col>10</xdr:col>
          <xdr:colOff>342900</xdr:colOff>
          <xdr:row>58</xdr:row>
          <xdr:rowOff>123825</xdr:rowOff>
        </xdr:to>
        <xdr:sp macro="" textlink="">
          <xdr:nvSpPr>
            <xdr:cNvPr id="8193" name="CommandButton2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49</xdr:row>
          <xdr:rowOff>85725</xdr:rowOff>
        </xdr:from>
        <xdr:to>
          <xdr:col>7</xdr:col>
          <xdr:colOff>361950</xdr:colOff>
          <xdr:row>52</xdr:row>
          <xdr:rowOff>47625</xdr:rowOff>
        </xdr:to>
        <xdr:sp macro="" textlink="">
          <xdr:nvSpPr>
            <xdr:cNvPr id="6145" name="CommandButton2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161925</xdr:rowOff>
        </xdr:from>
        <xdr:to>
          <xdr:col>2</xdr:col>
          <xdr:colOff>1819275</xdr:colOff>
          <xdr:row>7</xdr:row>
          <xdr:rowOff>9525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9525</xdr:rowOff>
        </xdr:from>
        <xdr:to>
          <xdr:col>4</xdr:col>
          <xdr:colOff>19050</xdr:colOff>
          <xdr:row>10</xdr:row>
          <xdr:rowOff>19050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1914525</xdr:colOff>
          <xdr:row>17</xdr:row>
          <xdr:rowOff>9525</xdr:rowOff>
        </xdr:from>
        <xdr:to>
          <xdr:col>2</xdr:col>
          <xdr:colOff>1828800</xdr:colOff>
          <xdr:row>18</xdr:row>
          <xdr:rowOff>180975</xdr:rowOff>
        </xdr:to>
        <xdr:sp macro="" textlink="">
          <xdr:nvSpPr>
            <xdr:cNvPr id="1027" name="G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1905000</xdr:colOff>
          <xdr:row>11</xdr:row>
          <xdr:rowOff>180975</xdr:rowOff>
        </xdr:from>
        <xdr:to>
          <xdr:col>2</xdr:col>
          <xdr:colOff>1838325</xdr:colOff>
          <xdr:row>13</xdr:row>
          <xdr:rowOff>38100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ROCKETSLED VisTraceability TransferEvent" connectionId="1" autoFormatId="16" applyNumberFormats="0" applyBorderFormats="0" applyFontFormats="0" applyPatternFormats="0" applyAlignmentFormats="0" applyWidthHeightFormats="0">
  <queryTableRefresh nextId="15">
    <queryTableFields count="14">
      <queryTableField id="1" name="TransferTypeID" tableColumnId="1"/>
      <queryTableField id="2" name="SpatialData" tableColumnId="2"/>
      <queryTableField id="3" name="TransferMethodID" tableColumnId="3"/>
      <queryTableField id="4" name="StartTime" tableColumnId="4"/>
      <queryTableField id="5" name="StartLatitude" tableColumnId="5"/>
      <queryTableField id="6" name="StartLongitude" tableColumnId="6"/>
      <queryTableField id="7" name="EndTime" tableColumnId="7"/>
      <queryTableField id="8" name="EndLatitude" tableColumnId="8"/>
      <queryTableField id="9" name="EndLogitude" tableColumnId="9"/>
      <queryTableField id="10" name="ProductMaterialID" tableColumnId="10"/>
      <queryTableField id="11" name="QuantityTransferred" tableColumnId="11"/>
      <queryTableField id="12" name="QuantityUOM" tableColumnId="12"/>
      <queryTableField id="13" name="TransferRate" tableColumnId="13"/>
      <queryTableField id="14" name="TransferUOM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le_ROCKETSLED_VisTraceability_TransferEvent" displayName="Table_ROCKETSLED_VisTraceability_TransferEvent" ref="A1:N3" tableType="queryTable" totalsRowShown="0">
  <autoFilter ref="A1:N3"/>
  <tableColumns count="14">
    <tableColumn id="1" uniqueName="1" name="TransferTypeID" queryTableFieldId="1"/>
    <tableColumn id="2" uniqueName="2" name="SpatialData" queryTableFieldId="2"/>
    <tableColumn id="3" uniqueName="3" name="TransferMethodID" queryTableFieldId="3"/>
    <tableColumn id="4" uniqueName="4" name="StartTime" queryTableFieldId="4" dataDxfId="1"/>
    <tableColumn id="5" uniqueName="5" name="StartLatitude" queryTableFieldId="5"/>
    <tableColumn id="6" uniqueName="6" name="StartLongitude" queryTableFieldId="6"/>
    <tableColumn id="7" uniqueName="7" name="EndTime" queryTableFieldId="7" dataDxfId="0"/>
    <tableColumn id="8" uniqueName="8" name="EndLatitude" queryTableFieldId="8"/>
    <tableColumn id="9" uniqueName="9" name="EndLogitude" queryTableFieldId="9"/>
    <tableColumn id="10" uniqueName="10" name="ProductMaterialID" queryTableFieldId="10"/>
    <tableColumn id="11" uniqueName="11" name="QuantityTransferred" queryTableFieldId="11"/>
    <tableColumn id="12" uniqueName="12" name="QuantityUOM" queryTableFieldId="12"/>
    <tableColumn id="13" uniqueName="13" name="TransferRate" queryTableFieldId="13"/>
    <tableColumn id="14" uniqueName="14" name="TransferUOM" queryTableField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1"/>
  <sheetViews>
    <sheetView topLeftCell="B1" workbookViewId="0">
      <selection activeCell="B3" sqref="B3"/>
    </sheetView>
  </sheetViews>
  <sheetFormatPr defaultRowHeight="15" x14ac:dyDescent="0.25"/>
  <cols>
    <col min="1" max="1" width="12.28515625" customWidth="1"/>
    <col min="2" max="2" width="39.42578125" customWidth="1"/>
    <col min="3" max="3" width="20.5703125" customWidth="1"/>
    <col min="4" max="4" width="35.5703125" customWidth="1"/>
    <col min="5" max="5" width="30.5703125" style="1" customWidth="1"/>
    <col min="6" max="6" width="18.140625" customWidth="1"/>
    <col min="7" max="7" width="16.42578125" customWidth="1"/>
    <col min="8" max="9" width="19.28515625" customWidth="1"/>
    <col min="10" max="10" width="22.28515625" customWidth="1"/>
  </cols>
  <sheetData>
    <row r="1" spans="1:10" s="5" customFormat="1" x14ac:dyDescent="0.25">
      <c r="A1" s="5" t="s">
        <v>7</v>
      </c>
      <c r="B1" s="5" t="s">
        <v>0</v>
      </c>
      <c r="C1" s="5" t="s">
        <v>1</v>
      </c>
      <c r="D1" s="5" t="s">
        <v>2</v>
      </c>
      <c r="E1" s="6" t="s">
        <v>69</v>
      </c>
      <c r="F1" s="5" t="s">
        <v>3</v>
      </c>
      <c r="G1" s="5" t="s">
        <v>30</v>
      </c>
      <c r="H1" s="5" t="s">
        <v>31</v>
      </c>
      <c r="I1" s="5" t="s">
        <v>4</v>
      </c>
      <c r="J1" s="5" t="s">
        <v>5</v>
      </c>
    </row>
    <row r="2" spans="1:10" s="2" customFormat="1" ht="30" x14ac:dyDescent="0.25">
      <c r="B2" t="s">
        <v>36</v>
      </c>
      <c r="C2" s="2">
        <v>9</v>
      </c>
      <c r="D2" s="2" t="s">
        <v>185</v>
      </c>
      <c r="E2" s="3" t="s">
        <v>33</v>
      </c>
      <c r="F2" s="2" t="s">
        <v>6</v>
      </c>
      <c r="G2" s="4">
        <v>850</v>
      </c>
      <c r="H2" s="2" t="s">
        <v>158</v>
      </c>
      <c r="I2" s="2" t="s">
        <v>6</v>
      </c>
      <c r="J2" s="2" t="s">
        <v>6</v>
      </c>
    </row>
    <row r="3" spans="1:10" x14ac:dyDescent="0.25">
      <c r="A3" s="2"/>
      <c r="B3" s="8" t="s">
        <v>37</v>
      </c>
      <c r="C3" s="2">
        <v>8</v>
      </c>
      <c r="D3" s="2" t="s">
        <v>8</v>
      </c>
      <c r="E3" s="3" t="s">
        <v>28</v>
      </c>
      <c r="F3" s="2" t="s">
        <v>6</v>
      </c>
      <c r="G3" s="12">
        <v>390</v>
      </c>
      <c r="H3" s="2" t="s">
        <v>158</v>
      </c>
      <c r="I3" s="2" t="s">
        <v>6</v>
      </c>
      <c r="J3" s="2" t="s">
        <v>6</v>
      </c>
    </row>
    <row r="4" spans="1:10" x14ac:dyDescent="0.25">
      <c r="A4" s="2"/>
      <c r="B4" t="s">
        <v>38</v>
      </c>
      <c r="C4" s="2">
        <v>6</v>
      </c>
      <c r="D4" s="2" t="s">
        <v>265</v>
      </c>
      <c r="E4" s="3" t="s">
        <v>269</v>
      </c>
      <c r="F4" s="2" t="s">
        <v>6</v>
      </c>
      <c r="G4" s="2">
        <v>643</v>
      </c>
      <c r="H4" s="2" t="s">
        <v>158</v>
      </c>
      <c r="I4" s="2" t="s">
        <v>6</v>
      </c>
      <c r="J4" s="2" t="s">
        <v>6</v>
      </c>
    </row>
    <row r="5" spans="1:10" x14ac:dyDescent="0.25">
      <c r="A5" s="2"/>
      <c r="B5" t="s">
        <v>39</v>
      </c>
      <c r="C5" s="2">
        <v>3</v>
      </c>
      <c r="D5" s="2" t="s">
        <v>35</v>
      </c>
      <c r="E5" s="3" t="s">
        <v>26</v>
      </c>
      <c r="F5" s="2"/>
      <c r="G5" s="2" t="s">
        <v>32</v>
      </c>
      <c r="H5" s="2"/>
      <c r="I5" s="2"/>
      <c r="J5" s="2"/>
    </row>
    <row r="6" spans="1:10" x14ac:dyDescent="0.25">
      <c r="A6" s="2"/>
      <c r="B6" t="s">
        <v>40</v>
      </c>
      <c r="C6" s="2">
        <v>2</v>
      </c>
      <c r="D6" s="2" t="s">
        <v>29</v>
      </c>
      <c r="E6" s="3" t="s">
        <v>27</v>
      </c>
      <c r="F6" s="2"/>
      <c r="G6" s="2">
        <f>86*50</f>
        <v>4300</v>
      </c>
      <c r="H6" s="2" t="s">
        <v>158</v>
      </c>
      <c r="I6" s="2"/>
      <c r="J6" s="2"/>
    </row>
    <row r="7" spans="1:10" x14ac:dyDescent="0.25">
      <c r="A7" s="2"/>
      <c r="B7" t="s">
        <v>41</v>
      </c>
      <c r="C7" s="2">
        <v>10</v>
      </c>
      <c r="D7" s="2" t="s">
        <v>9</v>
      </c>
      <c r="E7" s="3" t="s">
        <v>266</v>
      </c>
      <c r="F7" s="2"/>
      <c r="G7" s="2">
        <v>1600</v>
      </c>
      <c r="H7" s="2" t="s">
        <v>158</v>
      </c>
      <c r="I7" s="2"/>
      <c r="J7" s="2"/>
    </row>
    <row r="8" spans="1:10" x14ac:dyDescent="0.25">
      <c r="A8" s="2"/>
      <c r="B8" t="s">
        <v>42</v>
      </c>
      <c r="C8" s="2">
        <v>10</v>
      </c>
      <c r="D8" s="2" t="s">
        <v>262</v>
      </c>
      <c r="E8" s="3" t="s">
        <v>267</v>
      </c>
      <c r="F8" s="2"/>
      <c r="G8" s="2"/>
      <c r="H8" s="2"/>
      <c r="I8" s="2"/>
      <c r="J8" s="2"/>
    </row>
    <row r="9" spans="1:10" ht="30" x14ac:dyDescent="0.25">
      <c r="A9" s="2"/>
      <c r="B9" t="s">
        <v>43</v>
      </c>
      <c r="C9" s="2">
        <v>9</v>
      </c>
      <c r="D9" s="2" t="s">
        <v>184</v>
      </c>
      <c r="E9" s="3" t="s">
        <v>34</v>
      </c>
      <c r="F9" s="2"/>
      <c r="G9" s="2">
        <v>850</v>
      </c>
      <c r="H9" s="2" t="s">
        <v>158</v>
      </c>
      <c r="I9" s="2"/>
      <c r="J9" s="2"/>
    </row>
    <row r="10" spans="1:10" x14ac:dyDescent="0.25">
      <c r="A10" s="2"/>
      <c r="B10" t="s">
        <v>44</v>
      </c>
      <c r="C10" s="2"/>
      <c r="D10" s="2" t="s">
        <v>263</v>
      </c>
      <c r="E10" s="3" t="s">
        <v>268</v>
      </c>
      <c r="F10" s="2"/>
      <c r="G10" s="2"/>
      <c r="H10" s="2"/>
      <c r="I10" s="2"/>
      <c r="J10" s="2"/>
    </row>
    <row r="11" spans="1:10" x14ac:dyDescent="0.25">
      <c r="A11" s="2"/>
      <c r="B11" t="s">
        <v>45</v>
      </c>
      <c r="C11" s="2"/>
      <c r="D11" s="2"/>
      <c r="E11" s="3"/>
      <c r="F11" s="2"/>
      <c r="G11" s="2"/>
      <c r="H11" s="2"/>
      <c r="I11" s="2"/>
      <c r="J11" s="2"/>
    </row>
    <row r="12" spans="1:10" x14ac:dyDescent="0.25">
      <c r="A12" s="2"/>
      <c r="B12" t="s">
        <v>46</v>
      </c>
      <c r="C12" s="2"/>
      <c r="D12" s="2"/>
      <c r="E12" s="3"/>
      <c r="F12" s="2"/>
      <c r="G12" s="2"/>
      <c r="H12" s="2"/>
      <c r="I12" s="2"/>
      <c r="J12" s="2"/>
    </row>
    <row r="13" spans="1:10" x14ac:dyDescent="0.25">
      <c r="B13" t="s">
        <v>47</v>
      </c>
    </row>
    <row r="14" spans="1:10" x14ac:dyDescent="0.25">
      <c r="B14" t="s">
        <v>48</v>
      </c>
    </row>
    <row r="15" spans="1:10" x14ac:dyDescent="0.25">
      <c r="B15" t="s">
        <v>49</v>
      </c>
    </row>
    <row r="16" spans="1:10" x14ac:dyDescent="0.25">
      <c r="B16" t="s">
        <v>50</v>
      </c>
    </row>
    <row r="21" spans="6:6" x14ac:dyDescent="0.25">
      <c r="F21" t="s">
        <v>194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500"/>
  <sheetViews>
    <sheetView workbookViewId="0">
      <pane ySplit="1" topLeftCell="A2" activePane="bottomLeft" state="frozen"/>
      <selection pane="bottomLeft" activeCell="D7" sqref="D7"/>
    </sheetView>
  </sheetViews>
  <sheetFormatPr defaultRowHeight="15" x14ac:dyDescent="0.25"/>
  <cols>
    <col min="1" max="1" width="9.140625" style="9"/>
    <col min="2" max="2" width="28.140625" customWidth="1"/>
    <col min="3" max="3" width="38.7109375" customWidth="1"/>
    <col min="4" max="4" width="51.85546875" customWidth="1"/>
    <col min="5" max="5" width="27.42578125" style="9" customWidth="1"/>
    <col min="6" max="6" width="21.7109375" style="22" customWidth="1"/>
    <col min="7" max="7" width="22.28515625" style="22" customWidth="1"/>
    <col min="8" max="8" width="18.140625" customWidth="1"/>
    <col min="9" max="9" width="41.140625" customWidth="1"/>
  </cols>
  <sheetData>
    <row r="1" spans="1:11" s="13" customFormat="1" x14ac:dyDescent="0.25">
      <c r="A1" s="20" t="s">
        <v>231</v>
      </c>
      <c r="B1" s="20" t="s">
        <v>232</v>
      </c>
      <c r="C1" s="20" t="s">
        <v>257</v>
      </c>
      <c r="D1" s="20" t="s">
        <v>69</v>
      </c>
      <c r="E1" s="23" t="s">
        <v>233</v>
      </c>
      <c r="F1" s="24" t="s">
        <v>259</v>
      </c>
      <c r="G1" s="24" t="s">
        <v>258</v>
      </c>
      <c r="I1" s="13" t="s">
        <v>260</v>
      </c>
    </row>
    <row r="2" spans="1:11" x14ac:dyDescent="0.25">
      <c r="A2">
        <v>0</v>
      </c>
      <c r="B2" t="s">
        <v>235</v>
      </c>
      <c r="C2" t="s">
        <v>105</v>
      </c>
      <c r="D2" t="s">
        <v>261</v>
      </c>
      <c r="E2"/>
      <c r="F2"/>
      <c r="G2"/>
    </row>
    <row r="3" spans="1:11" x14ac:dyDescent="0.25">
      <c r="A3"/>
      <c r="E3"/>
      <c r="F3"/>
      <c r="G3"/>
    </row>
    <row r="4" spans="1:11" x14ac:dyDescent="0.25">
      <c r="A4">
        <v>1.1000000000000001</v>
      </c>
      <c r="B4" t="s">
        <v>236</v>
      </c>
      <c r="C4" t="s">
        <v>422</v>
      </c>
      <c r="D4" t="s">
        <v>304</v>
      </c>
      <c r="E4"/>
      <c r="F4"/>
      <c r="G4"/>
    </row>
    <row r="5" spans="1:11" x14ac:dyDescent="0.25">
      <c r="A5">
        <v>1.1000000000000001</v>
      </c>
      <c r="B5" t="s">
        <v>237</v>
      </c>
      <c r="C5" t="s">
        <v>201</v>
      </c>
      <c r="D5" t="s">
        <v>271</v>
      </c>
      <c r="E5" t="s">
        <v>6</v>
      </c>
      <c r="F5"/>
      <c r="G5"/>
    </row>
    <row r="6" spans="1:11" x14ac:dyDescent="0.25">
      <c r="A6">
        <v>1.1000000000000001</v>
      </c>
      <c r="B6" t="s">
        <v>238</v>
      </c>
      <c r="C6" t="s">
        <v>204</v>
      </c>
      <c r="D6" t="s">
        <v>296</v>
      </c>
      <c r="E6"/>
      <c r="F6"/>
      <c r="G6"/>
    </row>
    <row r="7" spans="1:11" x14ac:dyDescent="0.25">
      <c r="A7">
        <v>1.1000000000000001</v>
      </c>
      <c r="B7" t="s">
        <v>235</v>
      </c>
      <c r="C7" t="s">
        <v>97</v>
      </c>
      <c r="D7" t="s">
        <v>278</v>
      </c>
      <c r="E7"/>
      <c r="F7"/>
      <c r="G7"/>
      <c r="I7" t="s">
        <v>105</v>
      </c>
      <c r="K7" s="7"/>
    </row>
    <row r="8" spans="1:11" x14ac:dyDescent="0.25">
      <c r="A8"/>
      <c r="E8"/>
      <c r="F8"/>
      <c r="G8"/>
    </row>
    <row r="9" spans="1:11" x14ac:dyDescent="0.25">
      <c r="A9">
        <v>1.2</v>
      </c>
      <c r="B9" t="s">
        <v>236</v>
      </c>
      <c r="C9" t="s">
        <v>423</v>
      </c>
      <c r="D9" t="s">
        <v>303</v>
      </c>
      <c r="E9"/>
      <c r="F9"/>
      <c r="G9"/>
    </row>
    <row r="10" spans="1:11" x14ac:dyDescent="0.25">
      <c r="A10">
        <v>1.2</v>
      </c>
      <c r="B10" t="s">
        <v>237</v>
      </c>
      <c r="C10" t="s">
        <v>202</v>
      </c>
      <c r="D10" t="s">
        <v>272</v>
      </c>
      <c r="E10" t="s">
        <v>6</v>
      </c>
      <c r="F10"/>
      <c r="G10"/>
    </row>
    <row r="11" spans="1:11" x14ac:dyDescent="0.25">
      <c r="A11">
        <v>1.2</v>
      </c>
      <c r="B11" t="s">
        <v>238</v>
      </c>
      <c r="C11" t="s">
        <v>205</v>
      </c>
      <c r="D11" t="s">
        <v>297</v>
      </c>
      <c r="E11"/>
      <c r="F11"/>
      <c r="G11"/>
    </row>
    <row r="12" spans="1:11" x14ac:dyDescent="0.25">
      <c r="A12">
        <v>1.2</v>
      </c>
      <c r="B12" t="s">
        <v>235</v>
      </c>
      <c r="C12" t="s">
        <v>213</v>
      </c>
      <c r="D12" t="s">
        <v>279</v>
      </c>
      <c r="E12"/>
      <c r="F12"/>
      <c r="G12"/>
      <c r="I12" t="s">
        <v>105</v>
      </c>
    </row>
    <row r="13" spans="1:11" x14ac:dyDescent="0.25">
      <c r="A13"/>
      <c r="E13"/>
      <c r="F13"/>
      <c r="G13"/>
    </row>
    <row r="14" spans="1:11" x14ac:dyDescent="0.25">
      <c r="A14">
        <v>1.3</v>
      </c>
      <c r="B14" t="s">
        <v>236</v>
      </c>
      <c r="C14" t="s">
        <v>424</v>
      </c>
      <c r="D14" t="s">
        <v>304</v>
      </c>
      <c r="E14"/>
      <c r="F14"/>
      <c r="G14"/>
    </row>
    <row r="15" spans="1:11" x14ac:dyDescent="0.25">
      <c r="A15">
        <v>1.3</v>
      </c>
      <c r="B15" t="s">
        <v>237</v>
      </c>
      <c r="C15" t="s">
        <v>203</v>
      </c>
      <c r="D15" t="s">
        <v>271</v>
      </c>
      <c r="E15" t="s">
        <v>6</v>
      </c>
      <c r="F15"/>
      <c r="G15"/>
    </row>
    <row r="16" spans="1:11" x14ac:dyDescent="0.25">
      <c r="A16">
        <v>1.3</v>
      </c>
      <c r="B16" t="s">
        <v>238</v>
      </c>
      <c r="C16" t="s">
        <v>206</v>
      </c>
      <c r="D16" t="s">
        <v>296</v>
      </c>
      <c r="E16"/>
      <c r="F16"/>
      <c r="G16"/>
    </row>
    <row r="17" spans="1:9" x14ac:dyDescent="0.25">
      <c r="A17">
        <v>1.3</v>
      </c>
      <c r="B17" t="s">
        <v>235</v>
      </c>
      <c r="C17" t="s">
        <v>98</v>
      </c>
      <c r="D17" t="s">
        <v>280</v>
      </c>
      <c r="E17"/>
      <c r="F17"/>
      <c r="G17"/>
      <c r="I17" t="s">
        <v>105</v>
      </c>
    </row>
    <row r="18" spans="1:9" x14ac:dyDescent="0.25">
      <c r="A18"/>
      <c r="E18"/>
      <c r="F18"/>
      <c r="G18"/>
    </row>
    <row r="19" spans="1:9" x14ac:dyDescent="0.25">
      <c r="A19">
        <v>1.4</v>
      </c>
      <c r="B19" t="s">
        <v>236</v>
      </c>
      <c r="C19" t="s">
        <v>436</v>
      </c>
      <c r="D19" t="s">
        <v>304</v>
      </c>
      <c r="E19"/>
      <c r="F19"/>
      <c r="G19"/>
    </row>
    <row r="20" spans="1:9" x14ac:dyDescent="0.25">
      <c r="A20">
        <v>1.4</v>
      </c>
      <c r="B20" t="s">
        <v>237</v>
      </c>
      <c r="C20" t="s">
        <v>225</v>
      </c>
      <c r="D20" t="s">
        <v>271</v>
      </c>
      <c r="E20" t="s">
        <v>6</v>
      </c>
      <c r="F20"/>
      <c r="G20"/>
    </row>
    <row r="21" spans="1:9" x14ac:dyDescent="0.25">
      <c r="A21">
        <v>1.4</v>
      </c>
      <c r="B21" t="s">
        <v>238</v>
      </c>
      <c r="C21" t="s">
        <v>313</v>
      </c>
      <c r="D21" t="s">
        <v>300</v>
      </c>
      <c r="E21"/>
      <c r="F21"/>
      <c r="G21"/>
    </row>
    <row r="22" spans="1:9" x14ac:dyDescent="0.25">
      <c r="A22">
        <v>1.4</v>
      </c>
      <c r="B22" t="s">
        <v>235</v>
      </c>
      <c r="C22" t="s">
        <v>103</v>
      </c>
      <c r="D22" t="s">
        <v>293</v>
      </c>
      <c r="E22"/>
      <c r="F22"/>
      <c r="G22"/>
      <c r="I22" t="s">
        <v>105</v>
      </c>
    </row>
    <row r="23" spans="1:9" x14ac:dyDescent="0.25">
      <c r="A23"/>
      <c r="E23"/>
      <c r="F23"/>
      <c r="G23"/>
    </row>
    <row r="24" spans="1:9" x14ac:dyDescent="0.25">
      <c r="A24">
        <v>2.1</v>
      </c>
      <c r="B24" t="s">
        <v>236</v>
      </c>
      <c r="C24" t="s">
        <v>404</v>
      </c>
      <c r="D24" t="s">
        <v>180</v>
      </c>
      <c r="E24"/>
      <c r="F24"/>
      <c r="G24"/>
    </row>
    <row r="25" spans="1:9" x14ac:dyDescent="0.25">
      <c r="A25">
        <v>2.1</v>
      </c>
      <c r="B25" t="s">
        <v>237</v>
      </c>
      <c r="C25" t="s">
        <v>125</v>
      </c>
      <c r="D25" t="s">
        <v>198</v>
      </c>
      <c r="E25" t="s">
        <v>6</v>
      </c>
      <c r="F25"/>
      <c r="G25"/>
    </row>
    <row r="26" spans="1:9" x14ac:dyDescent="0.25">
      <c r="A26">
        <v>2.1</v>
      </c>
      <c r="B26" t="s">
        <v>238</v>
      </c>
      <c r="C26" t="s">
        <v>143</v>
      </c>
      <c r="D26" t="s">
        <v>178</v>
      </c>
      <c r="E26"/>
      <c r="F26"/>
      <c r="G26"/>
    </row>
    <row r="27" spans="1:9" x14ac:dyDescent="0.25">
      <c r="A27">
        <v>2.1</v>
      </c>
      <c r="B27" t="s">
        <v>235</v>
      </c>
      <c r="C27" t="s">
        <v>79</v>
      </c>
      <c r="D27" t="s">
        <v>239</v>
      </c>
      <c r="E27"/>
      <c r="F27"/>
      <c r="G27"/>
      <c r="I27" t="s">
        <v>97</v>
      </c>
    </row>
    <row r="28" spans="1:9" x14ac:dyDescent="0.25">
      <c r="A28"/>
      <c r="E28"/>
      <c r="F28"/>
      <c r="G28"/>
    </row>
    <row r="29" spans="1:9" x14ac:dyDescent="0.25">
      <c r="A29">
        <v>2.2000000000000002</v>
      </c>
      <c r="B29" t="s">
        <v>236</v>
      </c>
      <c r="C29" t="s">
        <v>405</v>
      </c>
      <c r="D29" t="s">
        <v>181</v>
      </c>
      <c r="E29"/>
      <c r="F29"/>
      <c r="G29"/>
    </row>
    <row r="30" spans="1:9" x14ac:dyDescent="0.25">
      <c r="A30">
        <v>2.2000000000000002</v>
      </c>
      <c r="B30" t="s">
        <v>237</v>
      </c>
      <c r="C30" t="s">
        <v>126</v>
      </c>
      <c r="D30" t="s">
        <v>197</v>
      </c>
      <c r="E30" t="s">
        <v>6</v>
      </c>
      <c r="F30"/>
      <c r="G30"/>
    </row>
    <row r="31" spans="1:9" x14ac:dyDescent="0.25">
      <c r="A31">
        <v>2.2000000000000002</v>
      </c>
      <c r="B31" t="s">
        <v>238</v>
      </c>
      <c r="C31" t="s">
        <v>144</v>
      </c>
      <c r="D31" t="s">
        <v>177</v>
      </c>
      <c r="E31"/>
      <c r="F31"/>
      <c r="G31"/>
    </row>
    <row r="32" spans="1:9" x14ac:dyDescent="0.25">
      <c r="A32">
        <v>2.2000000000000002</v>
      </c>
      <c r="B32" t="s">
        <v>235</v>
      </c>
      <c r="C32" t="s">
        <v>80</v>
      </c>
      <c r="D32" t="s">
        <v>240</v>
      </c>
      <c r="E32"/>
      <c r="F32"/>
      <c r="G32"/>
      <c r="I32" t="s">
        <v>213</v>
      </c>
    </row>
    <row r="33" spans="1:9" x14ac:dyDescent="0.25">
      <c r="A33"/>
      <c r="E33"/>
      <c r="F33"/>
      <c r="G33"/>
    </row>
    <row r="34" spans="1:9" x14ac:dyDescent="0.25">
      <c r="A34">
        <v>2.2999999999999998</v>
      </c>
      <c r="B34" t="s">
        <v>236</v>
      </c>
      <c r="C34" t="s">
        <v>406</v>
      </c>
      <c r="D34" t="s">
        <v>180</v>
      </c>
      <c r="E34"/>
      <c r="F34"/>
      <c r="G34"/>
    </row>
    <row r="35" spans="1:9" x14ac:dyDescent="0.25">
      <c r="A35">
        <v>2.2999999999999998</v>
      </c>
      <c r="B35" t="s">
        <v>237</v>
      </c>
      <c r="C35" t="s">
        <v>127</v>
      </c>
      <c r="D35" t="s">
        <v>198</v>
      </c>
      <c r="E35" t="s">
        <v>6</v>
      </c>
      <c r="F35"/>
      <c r="G35"/>
    </row>
    <row r="36" spans="1:9" x14ac:dyDescent="0.25">
      <c r="A36">
        <v>2.2999999999999998</v>
      </c>
      <c r="B36" t="s">
        <v>238</v>
      </c>
      <c r="C36" t="s">
        <v>145</v>
      </c>
      <c r="D36" t="s">
        <v>178</v>
      </c>
      <c r="E36"/>
      <c r="F36"/>
      <c r="G36"/>
    </row>
    <row r="37" spans="1:9" x14ac:dyDescent="0.25">
      <c r="A37">
        <v>2.2999999999999998</v>
      </c>
      <c r="B37" t="s">
        <v>235</v>
      </c>
      <c r="C37" t="s">
        <v>81</v>
      </c>
      <c r="D37" t="s">
        <v>241</v>
      </c>
      <c r="E37"/>
      <c r="F37"/>
      <c r="G37"/>
      <c r="I37" t="s">
        <v>98</v>
      </c>
    </row>
    <row r="38" spans="1:9" x14ac:dyDescent="0.25">
      <c r="A38"/>
      <c r="E38"/>
      <c r="F38"/>
      <c r="G38"/>
    </row>
    <row r="39" spans="1:9" x14ac:dyDescent="0.25">
      <c r="A39">
        <v>2.4</v>
      </c>
      <c r="B39" t="s">
        <v>236</v>
      </c>
      <c r="C39" t="s">
        <v>418</v>
      </c>
      <c r="D39" t="s">
        <v>180</v>
      </c>
      <c r="E39"/>
      <c r="F39"/>
      <c r="G39"/>
    </row>
    <row r="40" spans="1:9" x14ac:dyDescent="0.25">
      <c r="A40">
        <v>2.4</v>
      </c>
      <c r="B40" t="s">
        <v>237</v>
      </c>
      <c r="C40" t="s">
        <v>139</v>
      </c>
      <c r="D40" t="s">
        <v>198</v>
      </c>
      <c r="E40" t="s">
        <v>6</v>
      </c>
      <c r="F40"/>
      <c r="G40"/>
    </row>
    <row r="41" spans="1:9" x14ac:dyDescent="0.25">
      <c r="A41">
        <v>2.4</v>
      </c>
      <c r="B41" t="s">
        <v>238</v>
      </c>
      <c r="C41" t="s">
        <v>88</v>
      </c>
      <c r="D41" t="s">
        <v>178</v>
      </c>
      <c r="E41"/>
      <c r="F41"/>
      <c r="G41"/>
    </row>
    <row r="42" spans="1:9" x14ac:dyDescent="0.25">
      <c r="A42">
        <v>2.4</v>
      </c>
      <c r="B42" t="s">
        <v>235</v>
      </c>
      <c r="C42" t="s">
        <v>93</v>
      </c>
      <c r="D42" t="s">
        <v>253</v>
      </c>
      <c r="E42"/>
      <c r="F42"/>
      <c r="G42"/>
      <c r="I42" t="s">
        <v>103</v>
      </c>
    </row>
    <row r="43" spans="1:9" x14ac:dyDescent="0.25">
      <c r="A43"/>
      <c r="E43"/>
      <c r="F43"/>
      <c r="G43"/>
    </row>
    <row r="44" spans="1:9" x14ac:dyDescent="0.25">
      <c r="A44">
        <v>3.1</v>
      </c>
      <c r="B44" t="s">
        <v>236</v>
      </c>
      <c r="C44" t="s">
        <v>386</v>
      </c>
      <c r="D44" t="s">
        <v>234</v>
      </c>
      <c r="E44"/>
      <c r="F44"/>
      <c r="G44"/>
    </row>
    <row r="45" spans="1:9" x14ac:dyDescent="0.25">
      <c r="A45">
        <v>3.1</v>
      </c>
      <c r="B45" t="s">
        <v>237</v>
      </c>
      <c r="C45" t="s">
        <v>51</v>
      </c>
      <c r="D45" t="s">
        <v>196</v>
      </c>
      <c r="E45" t="s">
        <v>176</v>
      </c>
      <c r="F45" s="21">
        <v>41933.695775462962</v>
      </c>
      <c r="G45" s="21">
        <v>41933.718541666669</v>
      </c>
    </row>
    <row r="46" spans="1:9" x14ac:dyDescent="0.25">
      <c r="A46">
        <v>3.1</v>
      </c>
      <c r="B46" t="s">
        <v>238</v>
      </c>
      <c r="C46" t="s">
        <v>124</v>
      </c>
      <c r="D46" t="s">
        <v>156</v>
      </c>
      <c r="E46"/>
      <c r="F46"/>
      <c r="G46"/>
    </row>
    <row r="47" spans="1:9" x14ac:dyDescent="0.25">
      <c r="A47">
        <v>3.1</v>
      </c>
      <c r="B47" t="s">
        <v>235</v>
      </c>
      <c r="C47" t="s">
        <v>78</v>
      </c>
      <c r="D47" t="s">
        <v>155</v>
      </c>
      <c r="E47"/>
      <c r="F47"/>
      <c r="G47"/>
      <c r="I47" t="s">
        <v>79</v>
      </c>
    </row>
    <row r="48" spans="1:9" x14ac:dyDescent="0.25">
      <c r="A48"/>
      <c r="E48"/>
      <c r="F48"/>
      <c r="G48"/>
    </row>
    <row r="49" spans="1:9" x14ac:dyDescent="0.25">
      <c r="A49">
        <v>3.2</v>
      </c>
      <c r="B49" t="s">
        <v>236</v>
      </c>
      <c r="C49" t="s">
        <v>387</v>
      </c>
      <c r="D49" t="s">
        <v>234</v>
      </c>
      <c r="E49"/>
      <c r="F49"/>
      <c r="G49"/>
    </row>
    <row r="50" spans="1:9" x14ac:dyDescent="0.25">
      <c r="A50">
        <v>3.2</v>
      </c>
      <c r="B50" t="s">
        <v>237</v>
      </c>
      <c r="C50" t="s">
        <v>52</v>
      </c>
      <c r="D50" t="s">
        <v>196</v>
      </c>
      <c r="E50" t="s">
        <v>175</v>
      </c>
      <c r="F50" s="21">
        <v>41933.723680555559</v>
      </c>
      <c r="G50" s="21">
        <v>41933.750347222223</v>
      </c>
    </row>
    <row r="51" spans="1:9" x14ac:dyDescent="0.25">
      <c r="A51">
        <v>3.2</v>
      </c>
      <c r="B51" t="s">
        <v>238</v>
      </c>
      <c r="C51" t="s">
        <v>123</v>
      </c>
      <c r="D51" t="s">
        <v>156</v>
      </c>
      <c r="E51"/>
      <c r="F51"/>
      <c r="G51"/>
    </row>
    <row r="52" spans="1:9" x14ac:dyDescent="0.25">
      <c r="A52">
        <v>3.2</v>
      </c>
      <c r="B52" t="s">
        <v>235</v>
      </c>
      <c r="C52" t="s">
        <v>78</v>
      </c>
      <c r="D52" t="s">
        <v>155</v>
      </c>
      <c r="E52"/>
      <c r="F52"/>
      <c r="G52"/>
      <c r="I52" t="s">
        <v>80</v>
      </c>
    </row>
    <row r="53" spans="1:9" x14ac:dyDescent="0.25">
      <c r="A53"/>
      <c r="E53"/>
      <c r="F53"/>
      <c r="G53"/>
    </row>
    <row r="54" spans="1:9" x14ac:dyDescent="0.25">
      <c r="A54">
        <v>3.3</v>
      </c>
      <c r="B54" t="s">
        <v>236</v>
      </c>
      <c r="C54" t="s">
        <v>388</v>
      </c>
      <c r="D54" t="s">
        <v>234</v>
      </c>
      <c r="E54"/>
      <c r="F54"/>
      <c r="G54"/>
    </row>
    <row r="55" spans="1:9" x14ac:dyDescent="0.25">
      <c r="A55">
        <v>3.3</v>
      </c>
      <c r="B55" t="s">
        <v>237</v>
      </c>
      <c r="C55" t="s">
        <v>53</v>
      </c>
      <c r="D55" t="s">
        <v>196</v>
      </c>
      <c r="E55" t="s">
        <v>174</v>
      </c>
      <c r="F55" s="21">
        <v>41933.753125000003</v>
      </c>
      <c r="G55" s="21">
        <v>41933.782812500001</v>
      </c>
    </row>
    <row r="56" spans="1:9" x14ac:dyDescent="0.25">
      <c r="A56">
        <v>3.3</v>
      </c>
      <c r="B56" t="s">
        <v>238</v>
      </c>
      <c r="C56" t="s">
        <v>122</v>
      </c>
      <c r="D56" t="s">
        <v>156</v>
      </c>
      <c r="E56"/>
      <c r="F56"/>
      <c r="G56"/>
    </row>
    <row r="57" spans="1:9" x14ac:dyDescent="0.25">
      <c r="A57">
        <v>3.3</v>
      </c>
      <c r="B57" t="s">
        <v>235</v>
      </c>
      <c r="C57" t="s">
        <v>78</v>
      </c>
      <c r="D57" t="s">
        <v>155</v>
      </c>
      <c r="E57"/>
      <c r="F57"/>
      <c r="G57"/>
      <c r="I57" t="s">
        <v>81</v>
      </c>
    </row>
    <row r="58" spans="1:9" x14ac:dyDescent="0.25">
      <c r="A58"/>
      <c r="E58"/>
      <c r="F58"/>
      <c r="G58"/>
    </row>
    <row r="59" spans="1:9" x14ac:dyDescent="0.25">
      <c r="A59">
        <v>3.4</v>
      </c>
      <c r="B59" t="s">
        <v>236</v>
      </c>
      <c r="C59" t="s">
        <v>400</v>
      </c>
      <c r="D59" t="s">
        <v>234</v>
      </c>
      <c r="E59"/>
      <c r="F59"/>
      <c r="G59"/>
    </row>
    <row r="60" spans="1:9" x14ac:dyDescent="0.25">
      <c r="A60">
        <v>3.4</v>
      </c>
      <c r="B60" t="s">
        <v>237</v>
      </c>
      <c r="C60" t="s">
        <v>65</v>
      </c>
      <c r="D60" t="s">
        <v>196</v>
      </c>
      <c r="E60" t="s">
        <v>162</v>
      </c>
      <c r="F60" s="21">
        <v>41934.676990740743</v>
      </c>
      <c r="G60" s="21">
        <v>41934.700578703705</v>
      </c>
    </row>
    <row r="61" spans="1:9" x14ac:dyDescent="0.25">
      <c r="A61">
        <v>3.4</v>
      </c>
      <c r="B61" t="s">
        <v>238</v>
      </c>
      <c r="C61" t="s">
        <v>110</v>
      </c>
      <c r="D61" t="s">
        <v>156</v>
      </c>
      <c r="E61"/>
      <c r="F61"/>
      <c r="G61"/>
    </row>
    <row r="62" spans="1:9" x14ac:dyDescent="0.25">
      <c r="A62">
        <v>3.4</v>
      </c>
      <c r="B62" t="s">
        <v>235</v>
      </c>
      <c r="C62" t="s">
        <v>78</v>
      </c>
      <c r="D62" t="s">
        <v>155</v>
      </c>
      <c r="E62"/>
      <c r="F62"/>
      <c r="G62"/>
      <c r="I62" t="s">
        <v>93</v>
      </c>
    </row>
    <row r="63" spans="1:9" x14ac:dyDescent="0.25">
      <c r="A63"/>
      <c r="E63"/>
      <c r="F63"/>
      <c r="G63"/>
    </row>
    <row r="64" spans="1:9" x14ac:dyDescent="0.25">
      <c r="A64"/>
      <c r="E64"/>
      <c r="F64"/>
      <c r="G64"/>
    </row>
    <row r="65" spans="1:7" x14ac:dyDescent="0.25">
      <c r="A65"/>
      <c r="E65"/>
      <c r="F65"/>
      <c r="G65"/>
    </row>
    <row r="66" spans="1:7" x14ac:dyDescent="0.25">
      <c r="A66"/>
      <c r="E66"/>
      <c r="F66"/>
      <c r="G66"/>
    </row>
    <row r="67" spans="1:7" x14ac:dyDescent="0.25">
      <c r="A67"/>
      <c r="E67"/>
      <c r="F67"/>
      <c r="G67"/>
    </row>
    <row r="68" spans="1:7" x14ac:dyDescent="0.25">
      <c r="A68"/>
      <c r="E68"/>
      <c r="F68"/>
      <c r="G68"/>
    </row>
    <row r="69" spans="1:7" x14ac:dyDescent="0.25">
      <c r="A69"/>
      <c r="E69"/>
      <c r="F69"/>
      <c r="G69"/>
    </row>
    <row r="70" spans="1:7" x14ac:dyDescent="0.25">
      <c r="A70"/>
      <c r="E70"/>
      <c r="F70"/>
      <c r="G70"/>
    </row>
    <row r="71" spans="1:7" x14ac:dyDescent="0.25">
      <c r="A71"/>
      <c r="E71"/>
      <c r="F71"/>
      <c r="G71"/>
    </row>
    <row r="72" spans="1:7" x14ac:dyDescent="0.25">
      <c r="A72"/>
      <c r="E72"/>
      <c r="F72"/>
      <c r="G72"/>
    </row>
    <row r="73" spans="1:7" x14ac:dyDescent="0.25">
      <c r="A73"/>
      <c r="E73"/>
      <c r="F73"/>
      <c r="G73"/>
    </row>
    <row r="74" spans="1:7" x14ac:dyDescent="0.25">
      <c r="A74"/>
      <c r="E74"/>
      <c r="F74"/>
      <c r="G74"/>
    </row>
    <row r="75" spans="1:7" x14ac:dyDescent="0.25">
      <c r="A75"/>
      <c r="E75"/>
      <c r="F75"/>
      <c r="G75"/>
    </row>
    <row r="76" spans="1:7" x14ac:dyDescent="0.25">
      <c r="A76"/>
      <c r="E76"/>
      <c r="F76"/>
      <c r="G76"/>
    </row>
    <row r="77" spans="1:7" x14ac:dyDescent="0.25">
      <c r="A77"/>
      <c r="E77"/>
      <c r="F77"/>
      <c r="G77"/>
    </row>
    <row r="78" spans="1:7" x14ac:dyDescent="0.25">
      <c r="A78"/>
      <c r="E78"/>
      <c r="F78"/>
      <c r="G78"/>
    </row>
    <row r="79" spans="1:7" x14ac:dyDescent="0.25">
      <c r="A79"/>
      <c r="E79"/>
      <c r="F79"/>
      <c r="G79"/>
    </row>
    <row r="80" spans="1:7" x14ac:dyDescent="0.25">
      <c r="A80"/>
      <c r="E80"/>
      <c r="F80"/>
      <c r="G80"/>
    </row>
    <row r="81" spans="1:7" x14ac:dyDescent="0.25">
      <c r="A81"/>
      <c r="E81"/>
      <c r="F81"/>
      <c r="G81"/>
    </row>
    <row r="82" spans="1:7" x14ac:dyDescent="0.25">
      <c r="A82"/>
      <c r="E82"/>
      <c r="F82"/>
      <c r="G82"/>
    </row>
    <row r="83" spans="1:7" x14ac:dyDescent="0.25">
      <c r="A83"/>
      <c r="E83"/>
      <c r="F83"/>
      <c r="G83"/>
    </row>
    <row r="84" spans="1:7" x14ac:dyDescent="0.25">
      <c r="A84"/>
      <c r="E84"/>
      <c r="F84"/>
      <c r="G84"/>
    </row>
    <row r="85" spans="1:7" x14ac:dyDescent="0.25">
      <c r="A85"/>
      <c r="E85"/>
      <c r="F85"/>
      <c r="G85"/>
    </row>
    <row r="86" spans="1:7" x14ac:dyDescent="0.25">
      <c r="A86"/>
      <c r="E86"/>
      <c r="F86"/>
      <c r="G86"/>
    </row>
    <row r="87" spans="1:7" x14ac:dyDescent="0.25">
      <c r="A87"/>
      <c r="E87"/>
      <c r="F87"/>
      <c r="G87"/>
    </row>
    <row r="88" spans="1:7" x14ac:dyDescent="0.25">
      <c r="A88"/>
      <c r="E88"/>
      <c r="F88"/>
      <c r="G88"/>
    </row>
    <row r="89" spans="1:7" x14ac:dyDescent="0.25">
      <c r="A89"/>
      <c r="E89"/>
      <c r="F89"/>
      <c r="G89"/>
    </row>
    <row r="90" spans="1:7" x14ac:dyDescent="0.25">
      <c r="A90"/>
      <c r="E90"/>
      <c r="F90"/>
      <c r="G90"/>
    </row>
    <row r="91" spans="1:7" x14ac:dyDescent="0.25">
      <c r="A91"/>
      <c r="E91"/>
      <c r="F91"/>
      <c r="G91"/>
    </row>
    <row r="92" spans="1:7" x14ac:dyDescent="0.25">
      <c r="A92"/>
      <c r="E92"/>
      <c r="F92"/>
      <c r="G92"/>
    </row>
    <row r="93" spans="1:7" x14ac:dyDescent="0.25">
      <c r="A93"/>
      <c r="E93"/>
      <c r="F93"/>
      <c r="G93"/>
    </row>
    <row r="94" spans="1:7" x14ac:dyDescent="0.25">
      <c r="A94"/>
      <c r="E94"/>
      <c r="F94"/>
      <c r="G94"/>
    </row>
    <row r="95" spans="1:7" x14ac:dyDescent="0.25">
      <c r="A95"/>
      <c r="E95"/>
      <c r="F95"/>
      <c r="G95"/>
    </row>
    <row r="96" spans="1:7" x14ac:dyDescent="0.25">
      <c r="A96"/>
      <c r="E96"/>
      <c r="F96"/>
      <c r="G96"/>
    </row>
    <row r="97" spans="1:7" x14ac:dyDescent="0.25">
      <c r="A97"/>
      <c r="E97"/>
      <c r="F97"/>
      <c r="G97"/>
    </row>
    <row r="98" spans="1:7" x14ac:dyDescent="0.25">
      <c r="A98"/>
      <c r="E98"/>
      <c r="F98"/>
      <c r="G98"/>
    </row>
    <row r="99" spans="1:7" x14ac:dyDescent="0.25">
      <c r="A99"/>
      <c r="E99"/>
      <c r="F99"/>
      <c r="G99"/>
    </row>
    <row r="100" spans="1:7" x14ac:dyDescent="0.25">
      <c r="A100"/>
      <c r="E100"/>
      <c r="F100"/>
      <c r="G100"/>
    </row>
    <row r="101" spans="1:7" x14ac:dyDescent="0.25">
      <c r="A101"/>
      <c r="E101"/>
      <c r="F101"/>
      <c r="G101"/>
    </row>
    <row r="102" spans="1:7" x14ac:dyDescent="0.25">
      <c r="A102"/>
      <c r="E102"/>
      <c r="F102"/>
      <c r="G102"/>
    </row>
    <row r="103" spans="1:7" x14ac:dyDescent="0.25">
      <c r="A103"/>
      <c r="E103"/>
      <c r="F103"/>
      <c r="G103"/>
    </row>
    <row r="104" spans="1:7" x14ac:dyDescent="0.25">
      <c r="A104"/>
      <c r="E104"/>
      <c r="F104"/>
      <c r="G104"/>
    </row>
    <row r="105" spans="1:7" x14ac:dyDescent="0.25">
      <c r="A105"/>
      <c r="E105"/>
      <c r="F105"/>
      <c r="G105"/>
    </row>
    <row r="106" spans="1:7" x14ac:dyDescent="0.25">
      <c r="A106"/>
      <c r="E106"/>
      <c r="F106"/>
      <c r="G106"/>
    </row>
    <row r="107" spans="1:7" x14ac:dyDescent="0.25">
      <c r="A107"/>
      <c r="E107"/>
      <c r="F107"/>
      <c r="G107"/>
    </row>
    <row r="108" spans="1:7" x14ac:dyDescent="0.25">
      <c r="A108"/>
      <c r="E108"/>
      <c r="F108"/>
      <c r="G108"/>
    </row>
    <row r="109" spans="1:7" x14ac:dyDescent="0.25">
      <c r="A109"/>
      <c r="E109"/>
      <c r="F109"/>
      <c r="G109"/>
    </row>
    <row r="110" spans="1:7" x14ac:dyDescent="0.25">
      <c r="A110"/>
      <c r="E110"/>
      <c r="F110"/>
      <c r="G110"/>
    </row>
    <row r="111" spans="1:7" x14ac:dyDescent="0.25">
      <c r="A111"/>
      <c r="E111"/>
      <c r="F111"/>
      <c r="G111"/>
    </row>
    <row r="112" spans="1:7" x14ac:dyDescent="0.25">
      <c r="A112"/>
      <c r="E112"/>
      <c r="F112"/>
      <c r="G112"/>
    </row>
    <row r="113" spans="1:7" x14ac:dyDescent="0.25">
      <c r="A113"/>
      <c r="E113"/>
      <c r="F113"/>
      <c r="G113"/>
    </row>
    <row r="114" spans="1:7" x14ac:dyDescent="0.25">
      <c r="A114"/>
      <c r="E114"/>
      <c r="F114"/>
      <c r="G114"/>
    </row>
    <row r="115" spans="1:7" x14ac:dyDescent="0.25">
      <c r="A115"/>
      <c r="E115"/>
      <c r="F115"/>
      <c r="G115"/>
    </row>
    <row r="116" spans="1:7" x14ac:dyDescent="0.25">
      <c r="A116"/>
      <c r="E116"/>
      <c r="F116"/>
      <c r="G116"/>
    </row>
    <row r="117" spans="1:7" x14ac:dyDescent="0.25">
      <c r="A117"/>
      <c r="E117"/>
      <c r="F117"/>
      <c r="G117"/>
    </row>
    <row r="118" spans="1:7" x14ac:dyDescent="0.25">
      <c r="A118"/>
      <c r="E118"/>
      <c r="F118"/>
      <c r="G118"/>
    </row>
    <row r="119" spans="1:7" x14ac:dyDescent="0.25">
      <c r="A119"/>
      <c r="E119"/>
      <c r="F119"/>
      <c r="G119"/>
    </row>
    <row r="120" spans="1:7" x14ac:dyDescent="0.25">
      <c r="A120"/>
      <c r="E120"/>
      <c r="F120"/>
      <c r="G120"/>
    </row>
    <row r="121" spans="1:7" x14ac:dyDescent="0.25">
      <c r="A121"/>
      <c r="E121"/>
      <c r="F121"/>
      <c r="G121"/>
    </row>
    <row r="122" spans="1:7" x14ac:dyDescent="0.25">
      <c r="A122"/>
      <c r="E122"/>
      <c r="F122"/>
      <c r="G122"/>
    </row>
    <row r="123" spans="1:7" x14ac:dyDescent="0.25">
      <c r="A123"/>
      <c r="E123"/>
      <c r="F123"/>
      <c r="G123"/>
    </row>
    <row r="124" spans="1:7" x14ac:dyDescent="0.25">
      <c r="A124"/>
      <c r="E124"/>
      <c r="F124"/>
      <c r="G124"/>
    </row>
    <row r="125" spans="1:7" x14ac:dyDescent="0.25">
      <c r="A125"/>
      <c r="E125"/>
      <c r="F125"/>
      <c r="G125"/>
    </row>
    <row r="126" spans="1:7" x14ac:dyDescent="0.25">
      <c r="A126"/>
      <c r="E126"/>
      <c r="F126"/>
      <c r="G126"/>
    </row>
    <row r="127" spans="1:7" x14ac:dyDescent="0.25">
      <c r="A127"/>
      <c r="E127"/>
      <c r="F127"/>
      <c r="G127"/>
    </row>
    <row r="128" spans="1:7" x14ac:dyDescent="0.25">
      <c r="A128"/>
      <c r="E128"/>
      <c r="F128"/>
      <c r="G128"/>
    </row>
    <row r="129" spans="1:7" x14ac:dyDescent="0.25">
      <c r="A129"/>
      <c r="E129"/>
      <c r="F129"/>
      <c r="G129"/>
    </row>
    <row r="130" spans="1:7" x14ac:dyDescent="0.25">
      <c r="A130"/>
      <c r="E130"/>
      <c r="F130"/>
      <c r="G130"/>
    </row>
    <row r="131" spans="1:7" x14ac:dyDescent="0.25">
      <c r="A131"/>
      <c r="E131"/>
      <c r="F131"/>
      <c r="G131"/>
    </row>
    <row r="132" spans="1:7" x14ac:dyDescent="0.25">
      <c r="A132"/>
      <c r="E132"/>
      <c r="F132"/>
      <c r="G132"/>
    </row>
    <row r="133" spans="1:7" x14ac:dyDescent="0.25">
      <c r="A133"/>
      <c r="E133"/>
      <c r="F133"/>
      <c r="G133"/>
    </row>
    <row r="134" spans="1:7" x14ac:dyDescent="0.25">
      <c r="A134"/>
      <c r="E134"/>
      <c r="F134"/>
      <c r="G134"/>
    </row>
    <row r="135" spans="1:7" x14ac:dyDescent="0.25">
      <c r="A135"/>
      <c r="E135"/>
      <c r="F135"/>
      <c r="G135"/>
    </row>
    <row r="136" spans="1:7" x14ac:dyDescent="0.25">
      <c r="A136"/>
      <c r="E136"/>
      <c r="F136"/>
      <c r="G136"/>
    </row>
    <row r="137" spans="1:7" x14ac:dyDescent="0.25">
      <c r="A137"/>
      <c r="E137"/>
      <c r="F137"/>
      <c r="G137"/>
    </row>
    <row r="138" spans="1:7" x14ac:dyDescent="0.25">
      <c r="A138"/>
      <c r="E138"/>
      <c r="F138"/>
      <c r="G138"/>
    </row>
    <row r="139" spans="1:7" x14ac:dyDescent="0.25">
      <c r="A139"/>
      <c r="E139"/>
      <c r="F139"/>
      <c r="G139"/>
    </row>
    <row r="140" spans="1:7" x14ac:dyDescent="0.25">
      <c r="A140"/>
      <c r="E140"/>
      <c r="F140"/>
      <c r="G140"/>
    </row>
    <row r="141" spans="1:7" x14ac:dyDescent="0.25">
      <c r="A141"/>
      <c r="E141"/>
      <c r="F141"/>
      <c r="G141"/>
    </row>
    <row r="142" spans="1:7" x14ac:dyDescent="0.25">
      <c r="A142"/>
      <c r="E142"/>
      <c r="F142"/>
      <c r="G142"/>
    </row>
    <row r="143" spans="1:7" x14ac:dyDescent="0.25">
      <c r="A143"/>
      <c r="E143"/>
      <c r="F143"/>
      <c r="G143"/>
    </row>
    <row r="144" spans="1:7" x14ac:dyDescent="0.25">
      <c r="A144"/>
      <c r="E144"/>
      <c r="F144"/>
      <c r="G144"/>
    </row>
    <row r="145" spans="1:7" x14ac:dyDescent="0.25">
      <c r="A145"/>
      <c r="E145"/>
      <c r="F145"/>
      <c r="G145"/>
    </row>
    <row r="146" spans="1:7" x14ac:dyDescent="0.25">
      <c r="A146"/>
      <c r="E146"/>
      <c r="F146"/>
      <c r="G146"/>
    </row>
    <row r="147" spans="1:7" x14ac:dyDescent="0.25">
      <c r="A147"/>
      <c r="E147"/>
      <c r="F147"/>
      <c r="G147"/>
    </row>
    <row r="148" spans="1:7" x14ac:dyDescent="0.25">
      <c r="A148"/>
      <c r="E148"/>
      <c r="F148"/>
      <c r="G148"/>
    </row>
    <row r="149" spans="1:7" x14ac:dyDescent="0.25">
      <c r="A149"/>
      <c r="E149"/>
      <c r="F149"/>
      <c r="G149"/>
    </row>
    <row r="150" spans="1:7" x14ac:dyDescent="0.25">
      <c r="A150"/>
      <c r="E150"/>
      <c r="F150"/>
      <c r="G150"/>
    </row>
    <row r="151" spans="1:7" x14ac:dyDescent="0.25">
      <c r="A151"/>
      <c r="E151"/>
      <c r="F151"/>
      <c r="G151"/>
    </row>
    <row r="152" spans="1:7" x14ac:dyDescent="0.25">
      <c r="A152"/>
      <c r="E152"/>
      <c r="F152"/>
      <c r="G152"/>
    </row>
    <row r="153" spans="1:7" x14ac:dyDescent="0.25">
      <c r="A153"/>
      <c r="E153"/>
      <c r="F153"/>
      <c r="G153"/>
    </row>
    <row r="154" spans="1:7" x14ac:dyDescent="0.25">
      <c r="A154"/>
      <c r="E154"/>
      <c r="F154"/>
      <c r="G154"/>
    </row>
    <row r="155" spans="1:7" x14ac:dyDescent="0.25">
      <c r="A155"/>
      <c r="E155"/>
      <c r="F155"/>
      <c r="G155"/>
    </row>
    <row r="156" spans="1:7" x14ac:dyDescent="0.25">
      <c r="A156"/>
      <c r="E156"/>
      <c r="F156"/>
      <c r="G156"/>
    </row>
    <row r="157" spans="1:7" x14ac:dyDescent="0.25">
      <c r="A157"/>
      <c r="E157"/>
      <c r="F157"/>
      <c r="G157"/>
    </row>
    <row r="158" spans="1:7" x14ac:dyDescent="0.25">
      <c r="A158"/>
      <c r="E158"/>
      <c r="F158"/>
      <c r="G158"/>
    </row>
    <row r="159" spans="1:7" x14ac:dyDescent="0.25">
      <c r="A159"/>
      <c r="E159"/>
      <c r="F159"/>
      <c r="G159"/>
    </row>
    <row r="160" spans="1:7" x14ac:dyDescent="0.25">
      <c r="A160"/>
      <c r="E160"/>
      <c r="F160"/>
      <c r="G160"/>
    </row>
    <row r="161" spans="1:7" x14ac:dyDescent="0.25">
      <c r="A161"/>
      <c r="E161"/>
      <c r="F161"/>
      <c r="G161"/>
    </row>
    <row r="162" spans="1:7" x14ac:dyDescent="0.25">
      <c r="A162"/>
      <c r="E162"/>
      <c r="F162"/>
      <c r="G162"/>
    </row>
    <row r="163" spans="1:7" x14ac:dyDescent="0.25">
      <c r="A163"/>
      <c r="E163"/>
      <c r="F163"/>
      <c r="G163"/>
    </row>
    <row r="164" spans="1:7" x14ac:dyDescent="0.25">
      <c r="A164"/>
      <c r="E164"/>
      <c r="F164"/>
      <c r="G164"/>
    </row>
    <row r="165" spans="1:7" x14ac:dyDescent="0.25">
      <c r="A165"/>
      <c r="E165"/>
      <c r="F165"/>
      <c r="G165"/>
    </row>
    <row r="166" spans="1:7" x14ac:dyDescent="0.25">
      <c r="A166"/>
      <c r="E166"/>
      <c r="F166"/>
      <c r="G166"/>
    </row>
    <row r="167" spans="1:7" x14ac:dyDescent="0.25">
      <c r="A167"/>
      <c r="E167"/>
      <c r="F167"/>
      <c r="G167"/>
    </row>
    <row r="168" spans="1:7" x14ac:dyDescent="0.25">
      <c r="A168"/>
      <c r="E168"/>
      <c r="F168"/>
      <c r="G168"/>
    </row>
    <row r="169" spans="1:7" x14ac:dyDescent="0.25">
      <c r="A169"/>
      <c r="E169"/>
      <c r="F169"/>
      <c r="G169"/>
    </row>
    <row r="170" spans="1:7" x14ac:dyDescent="0.25">
      <c r="A170"/>
      <c r="E170"/>
      <c r="F170"/>
      <c r="G170"/>
    </row>
    <row r="171" spans="1:7" x14ac:dyDescent="0.25">
      <c r="A171"/>
      <c r="E171"/>
      <c r="F171"/>
      <c r="G171"/>
    </row>
    <row r="172" spans="1:7" x14ac:dyDescent="0.25">
      <c r="A172"/>
      <c r="E172"/>
      <c r="F172"/>
      <c r="G172"/>
    </row>
    <row r="173" spans="1:7" x14ac:dyDescent="0.25">
      <c r="A173"/>
      <c r="E173"/>
      <c r="F173"/>
      <c r="G173"/>
    </row>
    <row r="174" spans="1:7" x14ac:dyDescent="0.25">
      <c r="A174"/>
      <c r="E174"/>
      <c r="F174"/>
      <c r="G174"/>
    </row>
    <row r="175" spans="1:7" x14ac:dyDescent="0.25">
      <c r="A175"/>
      <c r="E175"/>
      <c r="F175"/>
      <c r="G175"/>
    </row>
    <row r="176" spans="1:7" x14ac:dyDescent="0.25">
      <c r="A176"/>
      <c r="E176"/>
      <c r="F176"/>
      <c r="G176"/>
    </row>
    <row r="177" spans="1:7" x14ac:dyDescent="0.25">
      <c r="A177"/>
      <c r="E177"/>
      <c r="F177"/>
      <c r="G177"/>
    </row>
    <row r="178" spans="1:7" x14ac:dyDescent="0.25">
      <c r="A178"/>
      <c r="E178"/>
      <c r="F178"/>
      <c r="G178"/>
    </row>
    <row r="179" spans="1:7" x14ac:dyDescent="0.25">
      <c r="A179"/>
      <c r="E179"/>
      <c r="F179"/>
      <c r="G179"/>
    </row>
    <row r="180" spans="1:7" x14ac:dyDescent="0.25">
      <c r="A180"/>
      <c r="E180"/>
      <c r="F180"/>
      <c r="G180"/>
    </row>
    <row r="181" spans="1:7" x14ac:dyDescent="0.25">
      <c r="A181"/>
      <c r="E181"/>
      <c r="F181"/>
      <c r="G181"/>
    </row>
    <row r="182" spans="1:7" x14ac:dyDescent="0.25">
      <c r="A182"/>
      <c r="E182"/>
      <c r="F182"/>
      <c r="G182"/>
    </row>
    <row r="183" spans="1:7" x14ac:dyDescent="0.25">
      <c r="A183"/>
      <c r="E183"/>
      <c r="F183"/>
      <c r="G183"/>
    </row>
    <row r="184" spans="1:7" x14ac:dyDescent="0.25">
      <c r="A184"/>
      <c r="E184"/>
      <c r="F184"/>
      <c r="G184"/>
    </row>
    <row r="185" spans="1:7" x14ac:dyDescent="0.25">
      <c r="A185"/>
      <c r="E185"/>
      <c r="F185"/>
      <c r="G185"/>
    </row>
    <row r="186" spans="1:7" x14ac:dyDescent="0.25">
      <c r="A186"/>
      <c r="E186"/>
      <c r="F186"/>
      <c r="G186"/>
    </row>
    <row r="187" spans="1:7" x14ac:dyDescent="0.25">
      <c r="A187"/>
      <c r="E187"/>
      <c r="F187"/>
      <c r="G187"/>
    </row>
    <row r="188" spans="1:7" x14ac:dyDescent="0.25">
      <c r="A188"/>
      <c r="E188"/>
      <c r="F188"/>
      <c r="G188"/>
    </row>
    <row r="189" spans="1:7" x14ac:dyDescent="0.25">
      <c r="A189"/>
      <c r="E189"/>
      <c r="F189"/>
      <c r="G189"/>
    </row>
    <row r="190" spans="1:7" x14ac:dyDescent="0.25">
      <c r="A190"/>
      <c r="E190"/>
      <c r="F190"/>
      <c r="G190"/>
    </row>
    <row r="191" spans="1:7" x14ac:dyDescent="0.25">
      <c r="A191"/>
      <c r="E191"/>
      <c r="F191"/>
      <c r="G191"/>
    </row>
    <row r="192" spans="1:7" x14ac:dyDescent="0.25">
      <c r="A192"/>
      <c r="E192"/>
      <c r="F192"/>
      <c r="G192"/>
    </row>
    <row r="193" spans="1:7" x14ac:dyDescent="0.25">
      <c r="A193"/>
      <c r="E193"/>
      <c r="F193"/>
      <c r="G193"/>
    </row>
    <row r="194" spans="1:7" x14ac:dyDescent="0.25">
      <c r="A194"/>
      <c r="E194"/>
      <c r="F194"/>
      <c r="G194"/>
    </row>
    <row r="195" spans="1:7" x14ac:dyDescent="0.25">
      <c r="A195"/>
      <c r="E195"/>
      <c r="F195"/>
      <c r="G195"/>
    </row>
    <row r="196" spans="1:7" x14ac:dyDescent="0.25">
      <c r="A196"/>
      <c r="E196"/>
      <c r="F196"/>
      <c r="G196"/>
    </row>
    <row r="197" spans="1:7" x14ac:dyDescent="0.25">
      <c r="A197"/>
      <c r="E197"/>
      <c r="F197"/>
      <c r="G197"/>
    </row>
    <row r="198" spans="1:7" x14ac:dyDescent="0.25">
      <c r="A198"/>
      <c r="E198"/>
      <c r="F198"/>
      <c r="G198"/>
    </row>
    <row r="199" spans="1:7" x14ac:dyDescent="0.25">
      <c r="A199"/>
      <c r="E199"/>
      <c r="F199"/>
      <c r="G199"/>
    </row>
    <row r="200" spans="1:7" x14ac:dyDescent="0.25">
      <c r="A200"/>
      <c r="E200"/>
      <c r="F200"/>
      <c r="G200"/>
    </row>
    <row r="201" spans="1:7" x14ac:dyDescent="0.25">
      <c r="A201"/>
      <c r="E201"/>
      <c r="F201"/>
      <c r="G201"/>
    </row>
    <row r="202" spans="1:7" x14ac:dyDescent="0.25">
      <c r="A202"/>
      <c r="E202"/>
      <c r="F202"/>
      <c r="G202"/>
    </row>
    <row r="203" spans="1:7" x14ac:dyDescent="0.25">
      <c r="A203"/>
      <c r="E203"/>
      <c r="F203"/>
      <c r="G203"/>
    </row>
    <row r="204" spans="1:7" x14ac:dyDescent="0.25">
      <c r="A204"/>
      <c r="E204"/>
      <c r="F204"/>
      <c r="G204"/>
    </row>
    <row r="205" spans="1:7" x14ac:dyDescent="0.25">
      <c r="A205"/>
      <c r="E205"/>
      <c r="F205"/>
      <c r="G205"/>
    </row>
    <row r="206" spans="1:7" x14ac:dyDescent="0.25">
      <c r="A206"/>
      <c r="E206"/>
      <c r="F206"/>
      <c r="G206"/>
    </row>
    <row r="207" spans="1:7" x14ac:dyDescent="0.25">
      <c r="A207"/>
      <c r="E207"/>
      <c r="F207"/>
      <c r="G207"/>
    </row>
    <row r="208" spans="1:7" x14ac:dyDescent="0.25">
      <c r="A208"/>
      <c r="E208"/>
      <c r="F208"/>
      <c r="G208"/>
    </row>
    <row r="209" spans="1:7" x14ac:dyDescent="0.25">
      <c r="A209"/>
      <c r="E209"/>
      <c r="F209"/>
      <c r="G209"/>
    </row>
    <row r="210" spans="1:7" x14ac:dyDescent="0.25">
      <c r="A210"/>
      <c r="E210"/>
      <c r="F210"/>
      <c r="G210"/>
    </row>
    <row r="211" spans="1:7" x14ac:dyDescent="0.25">
      <c r="A211"/>
      <c r="E211"/>
      <c r="F211"/>
      <c r="G211"/>
    </row>
    <row r="212" spans="1:7" x14ac:dyDescent="0.25">
      <c r="A212"/>
      <c r="E212"/>
      <c r="F212"/>
      <c r="G212"/>
    </row>
    <row r="213" spans="1:7" x14ac:dyDescent="0.25">
      <c r="A213"/>
      <c r="E213"/>
      <c r="F213"/>
      <c r="G213"/>
    </row>
    <row r="214" spans="1:7" x14ac:dyDescent="0.25">
      <c r="A214"/>
      <c r="E214"/>
      <c r="F214"/>
      <c r="G214"/>
    </row>
    <row r="215" spans="1:7" x14ac:dyDescent="0.25">
      <c r="A215"/>
      <c r="E215"/>
      <c r="F215"/>
      <c r="G215"/>
    </row>
    <row r="216" spans="1:7" x14ac:dyDescent="0.25">
      <c r="A216"/>
      <c r="E216"/>
      <c r="F216"/>
      <c r="G216"/>
    </row>
    <row r="217" spans="1:7" x14ac:dyDescent="0.25">
      <c r="A217"/>
      <c r="E217"/>
      <c r="F217"/>
      <c r="G217"/>
    </row>
    <row r="218" spans="1:7" x14ac:dyDescent="0.25">
      <c r="A218"/>
      <c r="E218"/>
      <c r="F218"/>
      <c r="G218"/>
    </row>
    <row r="219" spans="1:7" x14ac:dyDescent="0.25">
      <c r="A219"/>
      <c r="E219"/>
      <c r="F219"/>
      <c r="G219"/>
    </row>
    <row r="220" spans="1:7" x14ac:dyDescent="0.25">
      <c r="A220"/>
      <c r="E220"/>
      <c r="F220"/>
      <c r="G220"/>
    </row>
    <row r="221" spans="1:7" x14ac:dyDescent="0.25">
      <c r="A221"/>
      <c r="E221"/>
      <c r="F221"/>
      <c r="G221"/>
    </row>
    <row r="222" spans="1:7" x14ac:dyDescent="0.25">
      <c r="A222"/>
      <c r="E222"/>
      <c r="F222"/>
      <c r="G222"/>
    </row>
    <row r="223" spans="1:7" x14ac:dyDescent="0.25">
      <c r="A223"/>
      <c r="E223"/>
      <c r="F223"/>
      <c r="G223"/>
    </row>
    <row r="224" spans="1:7" x14ac:dyDescent="0.25">
      <c r="A224"/>
      <c r="E224"/>
      <c r="F224"/>
      <c r="G224"/>
    </row>
    <row r="225" spans="1:7" x14ac:dyDescent="0.25">
      <c r="A225"/>
      <c r="E225"/>
      <c r="F225"/>
      <c r="G225"/>
    </row>
    <row r="226" spans="1:7" x14ac:dyDescent="0.25">
      <c r="A226"/>
      <c r="E226"/>
      <c r="F226"/>
      <c r="G226"/>
    </row>
    <row r="227" spans="1:7" x14ac:dyDescent="0.25">
      <c r="A227"/>
      <c r="E227"/>
      <c r="F227"/>
      <c r="G227"/>
    </row>
    <row r="228" spans="1:7" x14ac:dyDescent="0.25">
      <c r="A228"/>
      <c r="E228"/>
      <c r="F228"/>
      <c r="G228"/>
    </row>
    <row r="229" spans="1:7" x14ac:dyDescent="0.25">
      <c r="A229"/>
      <c r="E229"/>
      <c r="F229"/>
      <c r="G229"/>
    </row>
    <row r="230" spans="1:7" x14ac:dyDescent="0.25">
      <c r="A230"/>
      <c r="E230"/>
      <c r="F230"/>
      <c r="G230"/>
    </row>
    <row r="231" spans="1:7" x14ac:dyDescent="0.25">
      <c r="A231"/>
      <c r="E231"/>
      <c r="F231"/>
      <c r="G231"/>
    </row>
    <row r="232" spans="1:7" x14ac:dyDescent="0.25">
      <c r="A232"/>
      <c r="E232"/>
      <c r="F232"/>
      <c r="G232"/>
    </row>
    <row r="233" spans="1:7" x14ac:dyDescent="0.25">
      <c r="A233"/>
      <c r="E233"/>
      <c r="F233"/>
      <c r="G233"/>
    </row>
    <row r="234" spans="1:7" x14ac:dyDescent="0.25">
      <c r="A234"/>
      <c r="E234"/>
      <c r="F234"/>
      <c r="G234"/>
    </row>
    <row r="235" spans="1:7" x14ac:dyDescent="0.25">
      <c r="A235"/>
      <c r="E235"/>
      <c r="F235"/>
      <c r="G235"/>
    </row>
    <row r="236" spans="1:7" x14ac:dyDescent="0.25">
      <c r="A236"/>
      <c r="E236"/>
      <c r="F236"/>
      <c r="G236"/>
    </row>
    <row r="237" spans="1:7" x14ac:dyDescent="0.25">
      <c r="A237"/>
      <c r="E237"/>
      <c r="F237"/>
      <c r="G237"/>
    </row>
    <row r="238" spans="1:7" x14ac:dyDescent="0.25">
      <c r="A238"/>
      <c r="E238"/>
      <c r="F238"/>
      <c r="G238"/>
    </row>
    <row r="239" spans="1:7" x14ac:dyDescent="0.25">
      <c r="A239"/>
      <c r="E239"/>
      <c r="F239"/>
      <c r="G239"/>
    </row>
    <row r="240" spans="1:7" x14ac:dyDescent="0.25">
      <c r="A240"/>
      <c r="E240"/>
      <c r="F240"/>
      <c r="G240"/>
    </row>
    <row r="241" spans="1:7" x14ac:dyDescent="0.25">
      <c r="A241"/>
      <c r="E241"/>
      <c r="F241"/>
      <c r="G241"/>
    </row>
    <row r="242" spans="1:7" x14ac:dyDescent="0.25">
      <c r="A242"/>
      <c r="E242"/>
      <c r="F242"/>
      <c r="G242"/>
    </row>
    <row r="243" spans="1:7" x14ac:dyDescent="0.25">
      <c r="A243"/>
      <c r="E243"/>
      <c r="F243"/>
      <c r="G243"/>
    </row>
    <row r="244" spans="1:7" x14ac:dyDescent="0.25">
      <c r="A244"/>
      <c r="E244"/>
      <c r="F244"/>
      <c r="G244"/>
    </row>
    <row r="245" spans="1:7" x14ac:dyDescent="0.25">
      <c r="A245"/>
      <c r="E245"/>
      <c r="F245"/>
      <c r="G245"/>
    </row>
    <row r="246" spans="1:7" x14ac:dyDescent="0.25">
      <c r="A246"/>
      <c r="E246"/>
      <c r="F246"/>
      <c r="G246"/>
    </row>
    <row r="247" spans="1:7" x14ac:dyDescent="0.25">
      <c r="A247"/>
      <c r="E247"/>
      <c r="F247"/>
      <c r="G247"/>
    </row>
    <row r="248" spans="1:7" x14ac:dyDescent="0.25">
      <c r="A248"/>
      <c r="E248"/>
      <c r="F248"/>
      <c r="G248"/>
    </row>
    <row r="249" spans="1:7" x14ac:dyDescent="0.25">
      <c r="A249"/>
      <c r="E249"/>
      <c r="F249"/>
      <c r="G249"/>
    </row>
    <row r="250" spans="1:7" x14ac:dyDescent="0.25">
      <c r="A250"/>
      <c r="E250"/>
      <c r="F250"/>
      <c r="G250"/>
    </row>
    <row r="251" spans="1:7" x14ac:dyDescent="0.25">
      <c r="A251"/>
      <c r="E251"/>
      <c r="F251"/>
      <c r="G251"/>
    </row>
    <row r="252" spans="1:7" x14ac:dyDescent="0.25">
      <c r="A252"/>
      <c r="E252"/>
      <c r="F252"/>
      <c r="G252"/>
    </row>
    <row r="253" spans="1:7" x14ac:dyDescent="0.25">
      <c r="A253"/>
      <c r="E253"/>
      <c r="F253"/>
      <c r="G253"/>
    </row>
    <row r="254" spans="1:7" x14ac:dyDescent="0.25">
      <c r="A254"/>
      <c r="E254"/>
      <c r="F254"/>
      <c r="G254"/>
    </row>
    <row r="255" spans="1:7" x14ac:dyDescent="0.25">
      <c r="A255"/>
      <c r="E255"/>
      <c r="F255"/>
      <c r="G255"/>
    </row>
    <row r="256" spans="1:7" x14ac:dyDescent="0.25">
      <c r="A256"/>
      <c r="E256"/>
      <c r="F256"/>
      <c r="G256"/>
    </row>
    <row r="257" spans="1:7" x14ac:dyDescent="0.25">
      <c r="A257"/>
      <c r="E257"/>
      <c r="F257"/>
      <c r="G257"/>
    </row>
    <row r="258" spans="1:7" x14ac:dyDescent="0.25">
      <c r="A258"/>
      <c r="E258"/>
      <c r="F258"/>
      <c r="G258"/>
    </row>
    <row r="259" spans="1:7" x14ac:dyDescent="0.25">
      <c r="A259"/>
      <c r="E259"/>
      <c r="F259"/>
      <c r="G259"/>
    </row>
    <row r="260" spans="1:7" x14ac:dyDescent="0.25">
      <c r="A260"/>
      <c r="E260"/>
      <c r="F260"/>
      <c r="G260"/>
    </row>
    <row r="261" spans="1:7" x14ac:dyDescent="0.25">
      <c r="A261"/>
      <c r="E261"/>
      <c r="F261"/>
      <c r="G261"/>
    </row>
    <row r="262" spans="1:7" x14ac:dyDescent="0.25">
      <c r="A262"/>
      <c r="E262"/>
      <c r="F262"/>
      <c r="G262"/>
    </row>
    <row r="263" spans="1:7" x14ac:dyDescent="0.25">
      <c r="A263"/>
      <c r="E263"/>
      <c r="F263"/>
      <c r="G263"/>
    </row>
    <row r="264" spans="1:7" x14ac:dyDescent="0.25">
      <c r="A264"/>
      <c r="E264"/>
      <c r="F264"/>
      <c r="G264"/>
    </row>
    <row r="265" spans="1:7" x14ac:dyDescent="0.25">
      <c r="A265"/>
      <c r="E265"/>
      <c r="F265"/>
      <c r="G265"/>
    </row>
    <row r="266" spans="1:7" x14ac:dyDescent="0.25">
      <c r="A266"/>
      <c r="E266"/>
      <c r="F266"/>
      <c r="G266"/>
    </row>
    <row r="267" spans="1:7" x14ac:dyDescent="0.25">
      <c r="A267"/>
      <c r="E267"/>
      <c r="F267"/>
      <c r="G267"/>
    </row>
    <row r="268" spans="1:7" x14ac:dyDescent="0.25">
      <c r="A268"/>
      <c r="E268"/>
      <c r="F268"/>
      <c r="G268"/>
    </row>
    <row r="269" spans="1:7" x14ac:dyDescent="0.25">
      <c r="A269"/>
      <c r="E269"/>
      <c r="F269"/>
      <c r="G269"/>
    </row>
    <row r="270" spans="1:7" x14ac:dyDescent="0.25">
      <c r="A270"/>
      <c r="E270"/>
      <c r="F270"/>
      <c r="G270"/>
    </row>
    <row r="271" spans="1:7" x14ac:dyDescent="0.25">
      <c r="A271"/>
      <c r="E271"/>
      <c r="F271"/>
      <c r="G271"/>
    </row>
    <row r="272" spans="1:7" x14ac:dyDescent="0.25">
      <c r="A272"/>
      <c r="E272"/>
      <c r="F272"/>
      <c r="G272"/>
    </row>
    <row r="273" spans="1:7" x14ac:dyDescent="0.25">
      <c r="A273"/>
      <c r="E273"/>
      <c r="F273"/>
      <c r="G273"/>
    </row>
    <row r="274" spans="1:7" x14ac:dyDescent="0.25">
      <c r="A274"/>
      <c r="E274"/>
      <c r="F274"/>
      <c r="G274"/>
    </row>
    <row r="275" spans="1:7" x14ac:dyDescent="0.25">
      <c r="A275"/>
      <c r="E275"/>
      <c r="F275"/>
      <c r="G275"/>
    </row>
    <row r="276" spans="1:7" x14ac:dyDescent="0.25">
      <c r="A276"/>
      <c r="E276"/>
      <c r="F276"/>
      <c r="G276"/>
    </row>
    <row r="277" spans="1:7" x14ac:dyDescent="0.25">
      <c r="A277"/>
      <c r="E277"/>
      <c r="F277"/>
      <c r="G277"/>
    </row>
    <row r="278" spans="1:7" x14ac:dyDescent="0.25">
      <c r="A278"/>
      <c r="E278"/>
      <c r="F278"/>
      <c r="G278"/>
    </row>
    <row r="279" spans="1:7" x14ac:dyDescent="0.25">
      <c r="A279"/>
      <c r="E279"/>
      <c r="F279"/>
      <c r="G279"/>
    </row>
    <row r="280" spans="1:7" x14ac:dyDescent="0.25">
      <c r="A280"/>
      <c r="E280"/>
      <c r="F280"/>
      <c r="G280"/>
    </row>
    <row r="281" spans="1:7" x14ac:dyDescent="0.25">
      <c r="A281"/>
      <c r="E281"/>
      <c r="F281"/>
      <c r="G281"/>
    </row>
    <row r="282" spans="1:7" x14ac:dyDescent="0.25">
      <c r="A282"/>
      <c r="E282"/>
      <c r="F282"/>
      <c r="G282"/>
    </row>
    <row r="283" spans="1:7" x14ac:dyDescent="0.25">
      <c r="A283"/>
      <c r="E283"/>
      <c r="F283"/>
      <c r="G283"/>
    </row>
    <row r="284" spans="1:7" x14ac:dyDescent="0.25">
      <c r="A284"/>
      <c r="E284"/>
      <c r="F284"/>
      <c r="G284"/>
    </row>
    <row r="285" spans="1:7" x14ac:dyDescent="0.25">
      <c r="A285"/>
      <c r="E285"/>
      <c r="F285"/>
      <c r="G285"/>
    </row>
    <row r="286" spans="1:7" x14ac:dyDescent="0.25">
      <c r="A286"/>
      <c r="E286"/>
      <c r="F286"/>
      <c r="G286"/>
    </row>
    <row r="287" spans="1:7" x14ac:dyDescent="0.25">
      <c r="A287"/>
      <c r="E287"/>
      <c r="F287"/>
      <c r="G287"/>
    </row>
    <row r="288" spans="1:7" x14ac:dyDescent="0.25">
      <c r="A288"/>
      <c r="E288"/>
      <c r="F288"/>
      <c r="G288"/>
    </row>
    <row r="289" spans="1:7" x14ac:dyDescent="0.25">
      <c r="A289"/>
      <c r="E289"/>
      <c r="F289"/>
      <c r="G289"/>
    </row>
    <row r="290" spans="1:7" x14ac:dyDescent="0.25">
      <c r="A290"/>
      <c r="E290"/>
      <c r="F290"/>
      <c r="G290"/>
    </row>
    <row r="291" spans="1:7" x14ac:dyDescent="0.25">
      <c r="A291"/>
      <c r="E291"/>
      <c r="F291"/>
      <c r="G291"/>
    </row>
    <row r="292" spans="1:7" x14ac:dyDescent="0.25">
      <c r="A292"/>
      <c r="E292"/>
      <c r="F292"/>
      <c r="G292"/>
    </row>
    <row r="293" spans="1:7" x14ac:dyDescent="0.25">
      <c r="A293"/>
      <c r="E293"/>
      <c r="F293"/>
      <c r="G293"/>
    </row>
    <row r="294" spans="1:7" x14ac:dyDescent="0.25">
      <c r="A294"/>
      <c r="E294"/>
      <c r="F294"/>
      <c r="G294"/>
    </row>
    <row r="295" spans="1:7" x14ac:dyDescent="0.25">
      <c r="A295"/>
      <c r="E295"/>
      <c r="F295"/>
      <c r="G295"/>
    </row>
    <row r="296" spans="1:7" x14ac:dyDescent="0.25">
      <c r="A296"/>
      <c r="E296"/>
      <c r="F296"/>
      <c r="G296"/>
    </row>
    <row r="297" spans="1:7" x14ac:dyDescent="0.25">
      <c r="A297"/>
      <c r="E297"/>
      <c r="F297"/>
      <c r="G297"/>
    </row>
    <row r="298" spans="1:7" x14ac:dyDescent="0.25">
      <c r="A298"/>
      <c r="E298"/>
      <c r="F298"/>
      <c r="G298"/>
    </row>
    <row r="299" spans="1:7" x14ac:dyDescent="0.25">
      <c r="A299"/>
      <c r="E299"/>
      <c r="F299"/>
      <c r="G299"/>
    </row>
    <row r="300" spans="1:7" x14ac:dyDescent="0.25">
      <c r="A300"/>
      <c r="E300"/>
      <c r="F300"/>
      <c r="G300"/>
    </row>
    <row r="301" spans="1:7" x14ac:dyDescent="0.25">
      <c r="A301"/>
      <c r="E301"/>
      <c r="F301"/>
      <c r="G301"/>
    </row>
    <row r="302" spans="1:7" x14ac:dyDescent="0.25">
      <c r="A302"/>
      <c r="E302"/>
      <c r="F302"/>
      <c r="G302"/>
    </row>
    <row r="303" spans="1:7" x14ac:dyDescent="0.25">
      <c r="A303"/>
      <c r="E303"/>
      <c r="F303"/>
      <c r="G303"/>
    </row>
    <row r="304" spans="1:7" x14ac:dyDescent="0.25">
      <c r="A304"/>
      <c r="E304"/>
      <c r="F304"/>
      <c r="G304"/>
    </row>
    <row r="305" spans="1:7" x14ac:dyDescent="0.25">
      <c r="A305"/>
      <c r="E305"/>
      <c r="F305"/>
      <c r="G305"/>
    </row>
    <row r="306" spans="1:7" x14ac:dyDescent="0.25">
      <c r="A306"/>
      <c r="E306"/>
      <c r="F306"/>
      <c r="G306"/>
    </row>
    <row r="307" spans="1:7" x14ac:dyDescent="0.25">
      <c r="A307"/>
      <c r="E307"/>
      <c r="F307"/>
      <c r="G307"/>
    </row>
    <row r="308" spans="1:7" x14ac:dyDescent="0.25">
      <c r="A308"/>
      <c r="E308"/>
      <c r="F308"/>
      <c r="G308"/>
    </row>
    <row r="309" spans="1:7" x14ac:dyDescent="0.25">
      <c r="A309"/>
      <c r="E309"/>
      <c r="F309"/>
      <c r="G309"/>
    </row>
    <row r="310" spans="1:7" x14ac:dyDescent="0.25">
      <c r="A310"/>
      <c r="E310"/>
      <c r="F310"/>
      <c r="G310"/>
    </row>
    <row r="311" spans="1:7" x14ac:dyDescent="0.25">
      <c r="A311"/>
      <c r="E311"/>
      <c r="F311"/>
      <c r="G311"/>
    </row>
    <row r="312" spans="1:7" x14ac:dyDescent="0.25">
      <c r="A312"/>
      <c r="E312"/>
      <c r="F312"/>
      <c r="G312"/>
    </row>
    <row r="313" spans="1:7" x14ac:dyDescent="0.25">
      <c r="A313"/>
      <c r="E313"/>
      <c r="F313"/>
      <c r="G313"/>
    </row>
    <row r="314" spans="1:7" x14ac:dyDescent="0.25">
      <c r="A314"/>
      <c r="E314"/>
      <c r="F314"/>
      <c r="G314"/>
    </row>
    <row r="315" spans="1:7" x14ac:dyDescent="0.25">
      <c r="A315"/>
      <c r="E315"/>
      <c r="F315"/>
      <c r="G315"/>
    </row>
    <row r="316" spans="1:7" x14ac:dyDescent="0.25">
      <c r="A316"/>
      <c r="E316"/>
      <c r="F316"/>
      <c r="G316"/>
    </row>
    <row r="317" spans="1:7" x14ac:dyDescent="0.25">
      <c r="A317"/>
      <c r="E317"/>
      <c r="F317"/>
      <c r="G317"/>
    </row>
    <row r="318" spans="1:7" x14ac:dyDescent="0.25">
      <c r="A318"/>
      <c r="E318"/>
      <c r="F318"/>
      <c r="G318"/>
    </row>
    <row r="319" spans="1:7" x14ac:dyDescent="0.25">
      <c r="A319"/>
      <c r="E319"/>
      <c r="F319"/>
      <c r="G319"/>
    </row>
    <row r="320" spans="1:7" x14ac:dyDescent="0.25">
      <c r="A320"/>
      <c r="E320"/>
      <c r="F320"/>
      <c r="G320"/>
    </row>
    <row r="321" spans="1:7" x14ac:dyDescent="0.25">
      <c r="A321"/>
      <c r="E321"/>
      <c r="F321"/>
      <c r="G321"/>
    </row>
    <row r="322" spans="1:7" x14ac:dyDescent="0.25">
      <c r="A322"/>
      <c r="E322"/>
      <c r="F322"/>
      <c r="G322"/>
    </row>
    <row r="323" spans="1:7" x14ac:dyDescent="0.25">
      <c r="A323"/>
      <c r="E323"/>
      <c r="F323"/>
      <c r="G323"/>
    </row>
    <row r="324" spans="1:7" x14ac:dyDescent="0.25">
      <c r="A324"/>
      <c r="E324"/>
      <c r="F324"/>
      <c r="G324"/>
    </row>
    <row r="325" spans="1:7" x14ac:dyDescent="0.25">
      <c r="A325"/>
      <c r="E325"/>
      <c r="F325"/>
      <c r="G325"/>
    </row>
    <row r="326" spans="1:7" x14ac:dyDescent="0.25">
      <c r="A326"/>
      <c r="E326"/>
      <c r="F326"/>
      <c r="G326"/>
    </row>
    <row r="327" spans="1:7" x14ac:dyDescent="0.25">
      <c r="A327"/>
      <c r="E327"/>
      <c r="F327"/>
      <c r="G327"/>
    </row>
    <row r="328" spans="1:7" x14ac:dyDescent="0.25">
      <c r="A328"/>
      <c r="E328"/>
      <c r="F328"/>
      <c r="G328"/>
    </row>
    <row r="329" spans="1:7" x14ac:dyDescent="0.25">
      <c r="A329"/>
      <c r="E329"/>
      <c r="F329"/>
      <c r="G329"/>
    </row>
    <row r="330" spans="1:7" x14ac:dyDescent="0.25">
      <c r="A330"/>
      <c r="E330"/>
      <c r="F330"/>
      <c r="G330"/>
    </row>
    <row r="331" spans="1:7" x14ac:dyDescent="0.25">
      <c r="A331"/>
      <c r="E331"/>
      <c r="F331"/>
      <c r="G331"/>
    </row>
    <row r="332" spans="1:7" x14ac:dyDescent="0.25">
      <c r="A332"/>
      <c r="E332"/>
      <c r="F332"/>
      <c r="G332"/>
    </row>
    <row r="333" spans="1:7" x14ac:dyDescent="0.25">
      <c r="A333"/>
      <c r="E333"/>
      <c r="F333"/>
      <c r="G333"/>
    </row>
    <row r="334" spans="1:7" x14ac:dyDescent="0.25">
      <c r="A334"/>
      <c r="E334"/>
      <c r="F334"/>
      <c r="G334"/>
    </row>
    <row r="335" spans="1:7" x14ac:dyDescent="0.25">
      <c r="A335"/>
      <c r="E335"/>
      <c r="F335"/>
      <c r="G335"/>
    </row>
    <row r="336" spans="1:7" x14ac:dyDescent="0.25">
      <c r="A336"/>
      <c r="E336"/>
      <c r="F336"/>
      <c r="G336"/>
    </row>
    <row r="337" spans="1:7" x14ac:dyDescent="0.25">
      <c r="A337"/>
      <c r="E337"/>
      <c r="F337"/>
      <c r="G337"/>
    </row>
    <row r="338" spans="1:7" x14ac:dyDescent="0.25">
      <c r="A338"/>
      <c r="E338"/>
      <c r="F338"/>
      <c r="G338"/>
    </row>
    <row r="339" spans="1:7" x14ac:dyDescent="0.25">
      <c r="A339"/>
      <c r="E339"/>
      <c r="F339"/>
      <c r="G339"/>
    </row>
    <row r="340" spans="1:7" x14ac:dyDescent="0.25">
      <c r="A340"/>
      <c r="E340"/>
      <c r="F340"/>
      <c r="G340"/>
    </row>
    <row r="341" spans="1:7" x14ac:dyDescent="0.25">
      <c r="A341"/>
      <c r="E341"/>
      <c r="F341"/>
      <c r="G341"/>
    </row>
    <row r="342" spans="1:7" x14ac:dyDescent="0.25">
      <c r="A342"/>
      <c r="E342"/>
      <c r="F342"/>
      <c r="G342"/>
    </row>
    <row r="343" spans="1:7" x14ac:dyDescent="0.25">
      <c r="A343"/>
      <c r="E343"/>
      <c r="F343"/>
      <c r="G343"/>
    </row>
    <row r="344" spans="1:7" x14ac:dyDescent="0.25">
      <c r="A344"/>
      <c r="E344"/>
      <c r="F344"/>
      <c r="G344"/>
    </row>
    <row r="345" spans="1:7" x14ac:dyDescent="0.25">
      <c r="A345"/>
      <c r="E345"/>
      <c r="F345"/>
      <c r="G345"/>
    </row>
    <row r="346" spans="1:7" x14ac:dyDescent="0.25">
      <c r="A346"/>
      <c r="E346"/>
      <c r="F346"/>
      <c r="G346"/>
    </row>
    <row r="347" spans="1:7" x14ac:dyDescent="0.25">
      <c r="A347"/>
      <c r="E347"/>
      <c r="F347"/>
      <c r="G347"/>
    </row>
    <row r="348" spans="1:7" x14ac:dyDescent="0.25">
      <c r="A348"/>
      <c r="E348"/>
      <c r="F348"/>
      <c r="G348"/>
    </row>
    <row r="349" spans="1:7" x14ac:dyDescent="0.25">
      <c r="A349"/>
      <c r="E349"/>
      <c r="F349"/>
      <c r="G349"/>
    </row>
    <row r="350" spans="1:7" x14ac:dyDescent="0.25">
      <c r="A350"/>
      <c r="E350"/>
      <c r="F350"/>
      <c r="G350"/>
    </row>
    <row r="351" spans="1:7" x14ac:dyDescent="0.25">
      <c r="A351"/>
      <c r="E351"/>
      <c r="F351"/>
      <c r="G351"/>
    </row>
    <row r="352" spans="1:7" x14ac:dyDescent="0.25">
      <c r="A352"/>
      <c r="E352"/>
      <c r="F352"/>
      <c r="G352"/>
    </row>
    <row r="353" spans="1:7" x14ac:dyDescent="0.25">
      <c r="A353"/>
      <c r="E353"/>
      <c r="F353"/>
      <c r="G353"/>
    </row>
    <row r="354" spans="1:7" x14ac:dyDescent="0.25">
      <c r="A354"/>
      <c r="E354"/>
      <c r="F354"/>
      <c r="G354"/>
    </row>
    <row r="355" spans="1:7" x14ac:dyDescent="0.25">
      <c r="A355"/>
      <c r="E355"/>
      <c r="F355"/>
      <c r="G355"/>
    </row>
    <row r="356" spans="1:7" x14ac:dyDescent="0.25">
      <c r="A356"/>
      <c r="E356"/>
      <c r="F356"/>
      <c r="G356"/>
    </row>
    <row r="357" spans="1:7" x14ac:dyDescent="0.25">
      <c r="A357"/>
      <c r="E357"/>
      <c r="F357"/>
      <c r="G357"/>
    </row>
    <row r="358" spans="1:7" x14ac:dyDescent="0.25">
      <c r="A358"/>
      <c r="E358"/>
      <c r="F358"/>
      <c r="G358"/>
    </row>
    <row r="359" spans="1:7" x14ac:dyDescent="0.25">
      <c r="A359"/>
      <c r="E359"/>
      <c r="F359"/>
      <c r="G359"/>
    </row>
    <row r="360" spans="1:7" x14ac:dyDescent="0.25">
      <c r="A360"/>
      <c r="E360"/>
      <c r="F360"/>
      <c r="G360"/>
    </row>
    <row r="361" spans="1:7" x14ac:dyDescent="0.25">
      <c r="A361"/>
      <c r="E361"/>
      <c r="F361"/>
      <c r="G361"/>
    </row>
    <row r="362" spans="1:7" x14ac:dyDescent="0.25">
      <c r="A362"/>
      <c r="E362"/>
      <c r="F362"/>
      <c r="G362"/>
    </row>
    <row r="363" spans="1:7" x14ac:dyDescent="0.25">
      <c r="A363"/>
      <c r="E363"/>
      <c r="F363"/>
      <c r="G363"/>
    </row>
    <row r="364" spans="1:7" x14ac:dyDescent="0.25">
      <c r="A364"/>
      <c r="E364"/>
      <c r="F364"/>
      <c r="G364"/>
    </row>
    <row r="365" spans="1:7" x14ac:dyDescent="0.25">
      <c r="A365"/>
      <c r="E365"/>
      <c r="F365"/>
      <c r="G365"/>
    </row>
    <row r="366" spans="1:7" x14ac:dyDescent="0.25">
      <c r="A366"/>
      <c r="E366"/>
      <c r="F366"/>
      <c r="G366"/>
    </row>
    <row r="367" spans="1:7" x14ac:dyDescent="0.25">
      <c r="A367"/>
      <c r="E367"/>
      <c r="F367"/>
      <c r="G367"/>
    </row>
    <row r="368" spans="1:7" x14ac:dyDescent="0.25">
      <c r="A368"/>
      <c r="E368"/>
      <c r="F368"/>
      <c r="G368"/>
    </row>
    <row r="369" spans="1:7" x14ac:dyDescent="0.25">
      <c r="A369"/>
      <c r="E369"/>
      <c r="F369"/>
      <c r="G369"/>
    </row>
    <row r="370" spans="1:7" x14ac:dyDescent="0.25">
      <c r="A370"/>
      <c r="E370"/>
      <c r="F370"/>
      <c r="G370"/>
    </row>
    <row r="371" spans="1:7" x14ac:dyDescent="0.25">
      <c r="A371"/>
      <c r="E371"/>
      <c r="F371"/>
      <c r="G371"/>
    </row>
    <row r="372" spans="1:7" x14ac:dyDescent="0.25">
      <c r="A372"/>
      <c r="E372"/>
      <c r="F372"/>
      <c r="G372"/>
    </row>
    <row r="373" spans="1:7" x14ac:dyDescent="0.25">
      <c r="A373"/>
      <c r="E373"/>
      <c r="F373"/>
      <c r="G373"/>
    </row>
    <row r="374" spans="1:7" x14ac:dyDescent="0.25">
      <c r="A374"/>
      <c r="E374"/>
      <c r="F374"/>
      <c r="G374"/>
    </row>
    <row r="375" spans="1:7" x14ac:dyDescent="0.25">
      <c r="A375"/>
      <c r="E375"/>
      <c r="F375"/>
      <c r="G375"/>
    </row>
    <row r="376" spans="1:7" x14ac:dyDescent="0.25">
      <c r="A376"/>
      <c r="E376"/>
      <c r="F376"/>
      <c r="G376"/>
    </row>
    <row r="377" spans="1:7" x14ac:dyDescent="0.25">
      <c r="A377"/>
      <c r="E377"/>
      <c r="F377"/>
      <c r="G377"/>
    </row>
    <row r="378" spans="1:7" x14ac:dyDescent="0.25">
      <c r="A378"/>
      <c r="E378"/>
      <c r="F378"/>
      <c r="G378"/>
    </row>
    <row r="379" spans="1:7" x14ac:dyDescent="0.25">
      <c r="A379"/>
      <c r="E379"/>
      <c r="F379"/>
      <c r="G379"/>
    </row>
    <row r="380" spans="1:7" x14ac:dyDescent="0.25">
      <c r="A380"/>
      <c r="E380"/>
      <c r="F380"/>
      <c r="G380"/>
    </row>
    <row r="381" spans="1:7" x14ac:dyDescent="0.25">
      <c r="A381"/>
      <c r="E381"/>
      <c r="F381"/>
      <c r="G381"/>
    </row>
    <row r="382" spans="1:7" x14ac:dyDescent="0.25">
      <c r="A382"/>
      <c r="E382"/>
      <c r="F382"/>
      <c r="G382"/>
    </row>
    <row r="383" spans="1:7" x14ac:dyDescent="0.25">
      <c r="A383"/>
      <c r="E383"/>
      <c r="F383"/>
      <c r="G383"/>
    </row>
    <row r="384" spans="1:7" x14ac:dyDescent="0.25">
      <c r="A384"/>
      <c r="E384"/>
      <c r="F384"/>
      <c r="G384"/>
    </row>
    <row r="385" spans="1:7" x14ac:dyDescent="0.25">
      <c r="A385"/>
      <c r="E385"/>
      <c r="F385"/>
      <c r="G385"/>
    </row>
    <row r="386" spans="1:7" x14ac:dyDescent="0.25">
      <c r="A386"/>
      <c r="E386"/>
      <c r="F386"/>
      <c r="G386"/>
    </row>
    <row r="387" spans="1:7" x14ac:dyDescent="0.25">
      <c r="A387"/>
      <c r="E387"/>
      <c r="F387"/>
      <c r="G387"/>
    </row>
    <row r="388" spans="1:7" x14ac:dyDescent="0.25">
      <c r="A388"/>
      <c r="E388"/>
      <c r="F388"/>
      <c r="G388"/>
    </row>
    <row r="389" spans="1:7" x14ac:dyDescent="0.25">
      <c r="A389"/>
      <c r="E389"/>
      <c r="F389"/>
      <c r="G389"/>
    </row>
    <row r="390" spans="1:7" x14ac:dyDescent="0.25">
      <c r="A390"/>
      <c r="E390"/>
      <c r="F390"/>
      <c r="G390"/>
    </row>
    <row r="391" spans="1:7" x14ac:dyDescent="0.25">
      <c r="A391"/>
      <c r="E391"/>
      <c r="F391"/>
      <c r="G391"/>
    </row>
    <row r="392" spans="1:7" x14ac:dyDescent="0.25">
      <c r="A392"/>
      <c r="E392"/>
      <c r="F392"/>
      <c r="G392"/>
    </row>
    <row r="393" spans="1:7" x14ac:dyDescent="0.25">
      <c r="A393"/>
      <c r="E393"/>
      <c r="F393"/>
      <c r="G393"/>
    </row>
    <row r="394" spans="1:7" x14ac:dyDescent="0.25">
      <c r="A394"/>
      <c r="E394"/>
      <c r="F394"/>
      <c r="G394"/>
    </row>
    <row r="395" spans="1:7" x14ac:dyDescent="0.25">
      <c r="A395"/>
      <c r="E395"/>
      <c r="F395"/>
      <c r="G395"/>
    </row>
    <row r="396" spans="1:7" x14ac:dyDescent="0.25">
      <c r="A396"/>
      <c r="E396"/>
      <c r="F396"/>
      <c r="G396"/>
    </row>
    <row r="397" spans="1:7" x14ac:dyDescent="0.25">
      <c r="A397"/>
      <c r="E397"/>
      <c r="F397"/>
      <c r="G397"/>
    </row>
    <row r="398" spans="1:7" x14ac:dyDescent="0.25">
      <c r="A398"/>
      <c r="E398"/>
      <c r="F398"/>
      <c r="G398"/>
    </row>
    <row r="399" spans="1:7" x14ac:dyDescent="0.25">
      <c r="A399"/>
      <c r="E399"/>
      <c r="F399"/>
      <c r="G399"/>
    </row>
    <row r="400" spans="1:7" x14ac:dyDescent="0.25">
      <c r="A400"/>
      <c r="E400"/>
      <c r="F400"/>
      <c r="G400"/>
    </row>
    <row r="401" spans="1:7" x14ac:dyDescent="0.25">
      <c r="A401"/>
      <c r="E401"/>
      <c r="F401"/>
      <c r="G401"/>
    </row>
    <row r="402" spans="1:7" x14ac:dyDescent="0.25">
      <c r="A402"/>
      <c r="E402"/>
      <c r="F402"/>
      <c r="G402"/>
    </row>
    <row r="403" spans="1:7" x14ac:dyDescent="0.25">
      <c r="A403"/>
      <c r="E403"/>
      <c r="F403"/>
      <c r="G403"/>
    </row>
    <row r="404" spans="1:7" x14ac:dyDescent="0.25">
      <c r="A404"/>
      <c r="E404"/>
      <c r="F404"/>
      <c r="G404"/>
    </row>
    <row r="405" spans="1:7" x14ac:dyDescent="0.25">
      <c r="A405"/>
      <c r="E405"/>
      <c r="F405"/>
      <c r="G405"/>
    </row>
    <row r="406" spans="1:7" x14ac:dyDescent="0.25">
      <c r="A406"/>
      <c r="E406"/>
      <c r="F406"/>
      <c r="G406"/>
    </row>
    <row r="407" spans="1:7" x14ac:dyDescent="0.25">
      <c r="A407"/>
      <c r="E407"/>
      <c r="F407"/>
      <c r="G407"/>
    </row>
    <row r="408" spans="1:7" x14ac:dyDescent="0.25">
      <c r="A408"/>
      <c r="E408"/>
      <c r="F408"/>
      <c r="G408"/>
    </row>
    <row r="409" spans="1:7" x14ac:dyDescent="0.25">
      <c r="A409"/>
      <c r="E409"/>
      <c r="F409"/>
      <c r="G409"/>
    </row>
    <row r="410" spans="1:7" x14ac:dyDescent="0.25">
      <c r="A410"/>
      <c r="E410"/>
      <c r="F410"/>
      <c r="G410"/>
    </row>
    <row r="411" spans="1:7" x14ac:dyDescent="0.25">
      <c r="A411"/>
      <c r="E411"/>
      <c r="F411"/>
      <c r="G411"/>
    </row>
    <row r="412" spans="1:7" x14ac:dyDescent="0.25">
      <c r="A412"/>
      <c r="E412"/>
      <c r="F412"/>
      <c r="G412"/>
    </row>
    <row r="413" spans="1:7" x14ac:dyDescent="0.25">
      <c r="A413"/>
      <c r="E413"/>
      <c r="F413"/>
      <c r="G413"/>
    </row>
    <row r="414" spans="1:7" x14ac:dyDescent="0.25">
      <c r="A414"/>
      <c r="E414"/>
      <c r="F414"/>
      <c r="G414"/>
    </row>
    <row r="415" spans="1:7" x14ac:dyDescent="0.25">
      <c r="A415"/>
      <c r="E415"/>
      <c r="F415"/>
      <c r="G415"/>
    </row>
    <row r="416" spans="1:7" x14ac:dyDescent="0.25">
      <c r="A416"/>
      <c r="E416"/>
      <c r="F416"/>
      <c r="G416"/>
    </row>
    <row r="417" spans="1:7" x14ac:dyDescent="0.25">
      <c r="A417"/>
      <c r="E417"/>
      <c r="F417"/>
      <c r="G417"/>
    </row>
    <row r="418" spans="1:7" x14ac:dyDescent="0.25">
      <c r="A418"/>
      <c r="E418"/>
      <c r="F418"/>
      <c r="G418"/>
    </row>
    <row r="419" spans="1:7" x14ac:dyDescent="0.25">
      <c r="A419"/>
      <c r="E419"/>
      <c r="F419"/>
      <c r="G419"/>
    </row>
    <row r="420" spans="1:7" x14ac:dyDescent="0.25">
      <c r="A420"/>
      <c r="E420"/>
      <c r="F420"/>
      <c r="G420"/>
    </row>
    <row r="421" spans="1:7" x14ac:dyDescent="0.25">
      <c r="A421"/>
      <c r="E421"/>
      <c r="F421"/>
      <c r="G421"/>
    </row>
    <row r="422" spans="1:7" x14ac:dyDescent="0.25">
      <c r="A422"/>
      <c r="E422"/>
      <c r="F422"/>
      <c r="G422"/>
    </row>
    <row r="423" spans="1:7" x14ac:dyDescent="0.25">
      <c r="A423"/>
      <c r="E423"/>
      <c r="F423"/>
      <c r="G423"/>
    </row>
    <row r="424" spans="1:7" x14ac:dyDescent="0.25">
      <c r="A424"/>
      <c r="E424"/>
      <c r="F424"/>
      <c r="G424"/>
    </row>
    <row r="425" spans="1:7" x14ac:dyDescent="0.25">
      <c r="A425"/>
      <c r="E425"/>
      <c r="F425"/>
      <c r="G425"/>
    </row>
    <row r="426" spans="1:7" x14ac:dyDescent="0.25">
      <c r="A426"/>
      <c r="E426"/>
      <c r="F426"/>
      <c r="G426"/>
    </row>
    <row r="427" spans="1:7" x14ac:dyDescent="0.25">
      <c r="A427"/>
      <c r="E427"/>
      <c r="F427"/>
      <c r="G427"/>
    </row>
    <row r="428" spans="1:7" x14ac:dyDescent="0.25">
      <c r="A428"/>
      <c r="E428"/>
      <c r="F428"/>
      <c r="G428"/>
    </row>
    <row r="429" spans="1:7" x14ac:dyDescent="0.25">
      <c r="A429"/>
      <c r="E429"/>
      <c r="F429"/>
      <c r="G429"/>
    </row>
    <row r="430" spans="1:7" x14ac:dyDescent="0.25">
      <c r="A430"/>
      <c r="E430"/>
      <c r="F430"/>
      <c r="G430"/>
    </row>
    <row r="431" spans="1:7" x14ac:dyDescent="0.25">
      <c r="A431"/>
      <c r="E431"/>
      <c r="F431"/>
      <c r="G431"/>
    </row>
    <row r="432" spans="1:7" x14ac:dyDescent="0.25">
      <c r="A432"/>
      <c r="E432"/>
      <c r="F432"/>
      <c r="G432"/>
    </row>
    <row r="433" spans="1:7" x14ac:dyDescent="0.25">
      <c r="A433"/>
      <c r="E433"/>
      <c r="F433"/>
      <c r="G433"/>
    </row>
    <row r="434" spans="1:7" x14ac:dyDescent="0.25">
      <c r="A434"/>
      <c r="E434"/>
      <c r="F434"/>
      <c r="G434"/>
    </row>
    <row r="435" spans="1:7" x14ac:dyDescent="0.25">
      <c r="A435"/>
      <c r="E435"/>
      <c r="F435"/>
      <c r="G435"/>
    </row>
    <row r="436" spans="1:7" x14ac:dyDescent="0.25">
      <c r="A436"/>
      <c r="E436"/>
      <c r="F436"/>
      <c r="G436"/>
    </row>
    <row r="437" spans="1:7" x14ac:dyDescent="0.25">
      <c r="A437"/>
      <c r="E437"/>
      <c r="F437"/>
      <c r="G437"/>
    </row>
    <row r="438" spans="1:7" x14ac:dyDescent="0.25">
      <c r="A438"/>
      <c r="E438"/>
      <c r="F438"/>
      <c r="G438"/>
    </row>
    <row r="439" spans="1:7" x14ac:dyDescent="0.25">
      <c r="A439"/>
      <c r="E439"/>
      <c r="F439"/>
      <c r="G439"/>
    </row>
    <row r="440" spans="1:7" x14ac:dyDescent="0.25">
      <c r="A440"/>
      <c r="E440"/>
      <c r="F440"/>
      <c r="G440"/>
    </row>
    <row r="441" spans="1:7" x14ac:dyDescent="0.25">
      <c r="A441"/>
      <c r="E441"/>
      <c r="F441"/>
      <c r="G441"/>
    </row>
    <row r="442" spans="1:7" x14ac:dyDescent="0.25">
      <c r="A442"/>
      <c r="E442"/>
      <c r="F442"/>
      <c r="G442"/>
    </row>
    <row r="443" spans="1:7" x14ac:dyDescent="0.25">
      <c r="A443"/>
      <c r="E443"/>
      <c r="F443"/>
      <c r="G443"/>
    </row>
    <row r="444" spans="1:7" x14ac:dyDescent="0.25">
      <c r="A444"/>
      <c r="E444"/>
      <c r="F444"/>
      <c r="G444"/>
    </row>
    <row r="445" spans="1:7" x14ac:dyDescent="0.25">
      <c r="A445"/>
      <c r="E445"/>
      <c r="F445"/>
      <c r="G445"/>
    </row>
    <row r="446" spans="1:7" x14ac:dyDescent="0.25">
      <c r="A446"/>
      <c r="E446"/>
      <c r="F446"/>
      <c r="G446"/>
    </row>
    <row r="447" spans="1:7" x14ac:dyDescent="0.25">
      <c r="A447"/>
      <c r="E447"/>
      <c r="F447"/>
      <c r="G447"/>
    </row>
    <row r="448" spans="1:7" x14ac:dyDescent="0.25">
      <c r="A448"/>
      <c r="E448"/>
      <c r="F448"/>
      <c r="G448"/>
    </row>
    <row r="449" spans="1:7" x14ac:dyDescent="0.25">
      <c r="A449"/>
      <c r="E449"/>
      <c r="F449"/>
      <c r="G449"/>
    </row>
    <row r="450" spans="1:7" x14ac:dyDescent="0.25">
      <c r="A450"/>
      <c r="E450"/>
      <c r="F450"/>
      <c r="G450"/>
    </row>
    <row r="451" spans="1:7" x14ac:dyDescent="0.25">
      <c r="A451"/>
      <c r="E451"/>
      <c r="F451"/>
      <c r="G451"/>
    </row>
    <row r="452" spans="1:7" x14ac:dyDescent="0.25">
      <c r="A452"/>
      <c r="E452"/>
      <c r="F452"/>
      <c r="G452"/>
    </row>
    <row r="453" spans="1:7" x14ac:dyDescent="0.25">
      <c r="A453"/>
      <c r="E453"/>
      <c r="F453"/>
      <c r="G453"/>
    </row>
    <row r="454" spans="1:7" x14ac:dyDescent="0.25">
      <c r="A454"/>
      <c r="E454"/>
      <c r="F454"/>
      <c r="G454"/>
    </row>
    <row r="455" spans="1:7" x14ac:dyDescent="0.25">
      <c r="A455"/>
      <c r="E455"/>
      <c r="F455"/>
      <c r="G455"/>
    </row>
    <row r="456" spans="1:7" x14ac:dyDescent="0.25">
      <c r="A456"/>
      <c r="E456"/>
      <c r="F456"/>
      <c r="G456"/>
    </row>
    <row r="457" spans="1:7" x14ac:dyDescent="0.25">
      <c r="A457"/>
      <c r="E457"/>
      <c r="F457"/>
      <c r="G457"/>
    </row>
    <row r="458" spans="1:7" x14ac:dyDescent="0.25">
      <c r="A458"/>
      <c r="E458"/>
      <c r="F458"/>
      <c r="G458"/>
    </row>
    <row r="459" spans="1:7" x14ac:dyDescent="0.25">
      <c r="A459"/>
      <c r="E459"/>
      <c r="F459"/>
      <c r="G459"/>
    </row>
    <row r="460" spans="1:7" x14ac:dyDescent="0.25">
      <c r="A460"/>
      <c r="E460"/>
      <c r="F460"/>
      <c r="G460"/>
    </row>
    <row r="461" spans="1:7" x14ac:dyDescent="0.25">
      <c r="A461"/>
      <c r="E461"/>
      <c r="F461"/>
      <c r="G461"/>
    </row>
    <row r="462" spans="1:7" x14ac:dyDescent="0.25">
      <c r="A462"/>
      <c r="E462"/>
      <c r="F462"/>
      <c r="G462"/>
    </row>
    <row r="463" spans="1:7" x14ac:dyDescent="0.25">
      <c r="A463"/>
      <c r="E463"/>
      <c r="F463"/>
      <c r="G463"/>
    </row>
    <row r="464" spans="1:7" x14ac:dyDescent="0.25">
      <c r="A464"/>
      <c r="E464"/>
      <c r="F464"/>
      <c r="G464"/>
    </row>
    <row r="465" spans="1:7" x14ac:dyDescent="0.25">
      <c r="A465"/>
      <c r="E465"/>
      <c r="F465"/>
      <c r="G465"/>
    </row>
    <row r="466" spans="1:7" x14ac:dyDescent="0.25">
      <c r="A466"/>
      <c r="E466"/>
      <c r="F466"/>
      <c r="G466"/>
    </row>
    <row r="467" spans="1:7" x14ac:dyDescent="0.25">
      <c r="A467"/>
      <c r="E467"/>
      <c r="F467"/>
      <c r="G467"/>
    </row>
    <row r="468" spans="1:7" x14ac:dyDescent="0.25">
      <c r="A468"/>
      <c r="E468"/>
      <c r="F468"/>
      <c r="G468"/>
    </row>
    <row r="469" spans="1:7" x14ac:dyDescent="0.25">
      <c r="A469"/>
      <c r="E469"/>
      <c r="F469"/>
      <c r="G469"/>
    </row>
    <row r="470" spans="1:7" x14ac:dyDescent="0.25">
      <c r="A470"/>
      <c r="E470"/>
      <c r="F470"/>
      <c r="G470"/>
    </row>
    <row r="471" spans="1:7" x14ac:dyDescent="0.25">
      <c r="A471"/>
      <c r="E471"/>
      <c r="F471"/>
      <c r="G471"/>
    </row>
    <row r="472" spans="1:7" x14ac:dyDescent="0.25">
      <c r="A472"/>
      <c r="E472"/>
      <c r="F472"/>
      <c r="G472"/>
    </row>
    <row r="473" spans="1:7" x14ac:dyDescent="0.25">
      <c r="A473"/>
      <c r="E473"/>
      <c r="F473"/>
      <c r="G473"/>
    </row>
    <row r="474" spans="1:7" x14ac:dyDescent="0.25">
      <c r="A474"/>
      <c r="E474"/>
      <c r="F474"/>
      <c r="G474"/>
    </row>
    <row r="475" spans="1:7" x14ac:dyDescent="0.25">
      <c r="A475"/>
      <c r="E475"/>
      <c r="F475"/>
      <c r="G475"/>
    </row>
    <row r="476" spans="1:7" x14ac:dyDescent="0.25">
      <c r="A476"/>
      <c r="E476"/>
      <c r="F476"/>
      <c r="G476"/>
    </row>
    <row r="477" spans="1:7" x14ac:dyDescent="0.25">
      <c r="A477"/>
      <c r="E477"/>
      <c r="F477"/>
      <c r="G477"/>
    </row>
    <row r="478" spans="1:7" x14ac:dyDescent="0.25">
      <c r="A478"/>
      <c r="E478"/>
      <c r="F478"/>
      <c r="G478"/>
    </row>
    <row r="479" spans="1:7" x14ac:dyDescent="0.25">
      <c r="A479"/>
      <c r="E479"/>
      <c r="F479"/>
      <c r="G479"/>
    </row>
    <row r="480" spans="1:7" x14ac:dyDescent="0.25">
      <c r="A480"/>
      <c r="E480"/>
      <c r="F480"/>
      <c r="G480"/>
    </row>
    <row r="481" spans="1:7" x14ac:dyDescent="0.25">
      <c r="A481"/>
      <c r="E481"/>
      <c r="F481"/>
      <c r="G481"/>
    </row>
    <row r="482" spans="1:7" x14ac:dyDescent="0.25">
      <c r="A482"/>
      <c r="E482"/>
      <c r="F482"/>
      <c r="G482"/>
    </row>
    <row r="483" spans="1:7" x14ac:dyDescent="0.25">
      <c r="A483"/>
      <c r="E483"/>
      <c r="F483"/>
      <c r="G483"/>
    </row>
    <row r="484" spans="1:7" x14ac:dyDescent="0.25">
      <c r="A484"/>
      <c r="E484"/>
      <c r="F484"/>
      <c r="G484"/>
    </row>
    <row r="485" spans="1:7" x14ac:dyDescent="0.25">
      <c r="A485"/>
      <c r="E485"/>
      <c r="F485"/>
      <c r="G485"/>
    </row>
    <row r="486" spans="1:7" x14ac:dyDescent="0.25">
      <c r="A486"/>
      <c r="E486"/>
      <c r="F486"/>
      <c r="G486"/>
    </row>
    <row r="487" spans="1:7" x14ac:dyDescent="0.25">
      <c r="A487"/>
      <c r="E487"/>
      <c r="F487"/>
      <c r="G487"/>
    </row>
    <row r="488" spans="1:7" x14ac:dyDescent="0.25">
      <c r="A488"/>
      <c r="E488"/>
      <c r="F488"/>
      <c r="G488"/>
    </row>
    <row r="489" spans="1:7" x14ac:dyDescent="0.25">
      <c r="A489"/>
      <c r="E489"/>
      <c r="F489"/>
      <c r="G489"/>
    </row>
    <row r="490" spans="1:7" x14ac:dyDescent="0.25">
      <c r="A490"/>
      <c r="E490"/>
      <c r="F490"/>
      <c r="G490"/>
    </row>
    <row r="491" spans="1:7" x14ac:dyDescent="0.25">
      <c r="A491"/>
      <c r="E491"/>
      <c r="F491"/>
      <c r="G491"/>
    </row>
    <row r="492" spans="1:7" x14ac:dyDescent="0.25">
      <c r="A492"/>
      <c r="E492"/>
      <c r="F492"/>
      <c r="G492"/>
    </row>
    <row r="493" spans="1:7" x14ac:dyDescent="0.25">
      <c r="A493"/>
      <c r="E493"/>
      <c r="F493"/>
      <c r="G493"/>
    </row>
    <row r="494" spans="1:7" x14ac:dyDescent="0.25">
      <c r="A494"/>
      <c r="E494"/>
      <c r="F494"/>
      <c r="G494"/>
    </row>
    <row r="495" spans="1:7" x14ac:dyDescent="0.25">
      <c r="A495"/>
      <c r="E495"/>
      <c r="F495"/>
      <c r="G495"/>
    </row>
    <row r="496" spans="1:7" x14ac:dyDescent="0.25">
      <c r="A496"/>
      <c r="E496"/>
      <c r="F496"/>
      <c r="G496"/>
    </row>
    <row r="497" spans="1:7" x14ac:dyDescent="0.25">
      <c r="A497"/>
      <c r="E497"/>
      <c r="F497"/>
      <c r="G497"/>
    </row>
    <row r="498" spans="1:7" x14ac:dyDescent="0.25">
      <c r="A498"/>
      <c r="E498"/>
      <c r="F498"/>
      <c r="G498"/>
    </row>
    <row r="499" spans="1:7" x14ac:dyDescent="0.25">
      <c r="A499"/>
      <c r="E499"/>
      <c r="F499"/>
      <c r="G499"/>
    </row>
    <row r="500" spans="1:7" x14ac:dyDescent="0.25">
      <c r="A500"/>
      <c r="E500"/>
      <c r="F500"/>
      <c r="G500"/>
    </row>
  </sheetData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"/>
  <sheetViews>
    <sheetView workbookViewId="0">
      <pane ySplit="1" topLeftCell="A2" activePane="bottomLeft" state="frozen"/>
      <selection activeCell="F21" sqref="F21"/>
      <selection pane="bottomLeft" sqref="A1:B1048576"/>
    </sheetView>
  </sheetViews>
  <sheetFormatPr defaultRowHeight="15" x14ac:dyDescent="0.25"/>
  <cols>
    <col min="1" max="1" width="45" style="11" customWidth="1"/>
    <col min="2" max="2" width="42.140625" style="11" customWidth="1"/>
    <col min="3" max="3" width="42.7109375" style="11" customWidth="1"/>
    <col min="4" max="4" width="15.140625" style="11" customWidth="1"/>
    <col min="5" max="5" width="18.140625" style="11" customWidth="1"/>
    <col min="6" max="6" width="14.5703125" style="11" customWidth="1"/>
    <col min="7" max="7" width="22" style="11" customWidth="1"/>
    <col min="8" max="8" width="17.42578125" style="11" customWidth="1"/>
    <col min="9" max="9" width="19.5703125" style="11" customWidth="1"/>
    <col min="10" max="10" width="18" style="11" customWidth="1"/>
    <col min="11" max="16384" width="9.140625" style="11"/>
  </cols>
  <sheetData>
    <row r="1" spans="1:8" s="18" customFormat="1" x14ac:dyDescent="0.25">
      <c r="A1" s="18" t="s">
        <v>68</v>
      </c>
      <c r="B1" s="18" t="s">
        <v>0</v>
      </c>
      <c r="C1" s="18" t="s">
        <v>69</v>
      </c>
      <c r="D1" s="18" t="s">
        <v>71</v>
      </c>
      <c r="E1" s="18" t="s">
        <v>72</v>
      </c>
      <c r="F1" s="18" t="s">
        <v>73</v>
      </c>
      <c r="G1" s="18" t="s">
        <v>74</v>
      </c>
      <c r="H1" s="18" t="s">
        <v>188</v>
      </c>
    </row>
    <row r="2" spans="1:8" s="18" customFormat="1" x14ac:dyDescent="0.25">
      <c r="A2" s="11" t="s">
        <v>78</v>
      </c>
      <c r="B2" s="11" t="s">
        <v>40</v>
      </c>
      <c r="C2" s="35" t="s">
        <v>155</v>
      </c>
      <c r="D2" s="18">
        <v>1</v>
      </c>
      <c r="E2" s="18">
        <f>F2-(90*3600*24)</f>
        <v>1406223887</v>
      </c>
      <c r="F2" s="11">
        <v>1413999887</v>
      </c>
    </row>
    <row r="3" spans="1:8" x14ac:dyDescent="0.25">
      <c r="A3" s="11" t="s">
        <v>79</v>
      </c>
      <c r="B3" s="19" t="s">
        <v>37</v>
      </c>
      <c r="C3" s="11" t="s">
        <v>239</v>
      </c>
      <c r="D3" s="14">
        <v>1</v>
      </c>
      <c r="E3" s="11">
        <f>TransferEvents!K2</f>
        <v>1413911682</v>
      </c>
    </row>
    <row r="4" spans="1:8" x14ac:dyDescent="0.25">
      <c r="A4" s="11" t="s">
        <v>80</v>
      </c>
      <c r="B4" s="19" t="s">
        <v>37</v>
      </c>
      <c r="C4" s="11" t="s">
        <v>240</v>
      </c>
      <c r="D4" s="14">
        <v>1</v>
      </c>
    </row>
    <row r="5" spans="1:8" x14ac:dyDescent="0.25">
      <c r="A5" s="11" t="s">
        <v>81</v>
      </c>
      <c r="B5" s="19" t="s">
        <v>37</v>
      </c>
      <c r="C5" s="11" t="s">
        <v>241</v>
      </c>
      <c r="D5" s="14">
        <v>1</v>
      </c>
    </row>
    <row r="6" spans="1:8" x14ac:dyDescent="0.25">
      <c r="A6" s="11" t="s">
        <v>82</v>
      </c>
      <c r="B6" s="19" t="s">
        <v>37</v>
      </c>
      <c r="C6" s="11" t="s">
        <v>242</v>
      </c>
      <c r="D6" s="14">
        <v>1</v>
      </c>
    </row>
    <row r="7" spans="1:8" x14ac:dyDescent="0.25">
      <c r="A7" s="11" t="s">
        <v>83</v>
      </c>
      <c r="B7" s="19" t="s">
        <v>37</v>
      </c>
      <c r="C7" s="11" t="s">
        <v>243</v>
      </c>
      <c r="D7" s="14">
        <v>1</v>
      </c>
    </row>
    <row r="8" spans="1:8" x14ac:dyDescent="0.25">
      <c r="A8" s="11" t="s">
        <v>84</v>
      </c>
      <c r="B8" s="19" t="s">
        <v>37</v>
      </c>
      <c r="C8" s="11" t="s">
        <v>244</v>
      </c>
      <c r="D8" s="14">
        <v>1</v>
      </c>
    </row>
    <row r="9" spans="1:8" x14ac:dyDescent="0.25">
      <c r="A9" s="11" t="s">
        <v>85</v>
      </c>
      <c r="B9" s="19" t="s">
        <v>37</v>
      </c>
      <c r="C9" s="11" t="s">
        <v>245</v>
      </c>
      <c r="D9" s="14">
        <v>1</v>
      </c>
    </row>
    <row r="10" spans="1:8" x14ac:dyDescent="0.25">
      <c r="A10" s="11" t="s">
        <v>86</v>
      </c>
      <c r="B10" s="19" t="s">
        <v>37</v>
      </c>
      <c r="C10" s="11" t="s">
        <v>246</v>
      </c>
      <c r="D10" s="14">
        <v>1</v>
      </c>
    </row>
    <row r="11" spans="1:8" x14ac:dyDescent="0.25">
      <c r="A11" s="11" t="s">
        <v>87</v>
      </c>
      <c r="B11" s="19" t="s">
        <v>37</v>
      </c>
      <c r="C11" s="11" t="s">
        <v>247</v>
      </c>
      <c r="D11" s="14">
        <v>1</v>
      </c>
    </row>
    <row r="12" spans="1:8" x14ac:dyDescent="0.25">
      <c r="A12" s="11" t="s">
        <v>88</v>
      </c>
      <c r="B12" s="19" t="s">
        <v>37</v>
      </c>
      <c r="C12" s="11" t="s">
        <v>248</v>
      </c>
      <c r="D12" s="14">
        <v>1</v>
      </c>
    </row>
    <row r="13" spans="1:8" x14ac:dyDescent="0.25">
      <c r="A13" s="11" t="s">
        <v>89</v>
      </c>
      <c r="B13" s="19" t="s">
        <v>37</v>
      </c>
      <c r="C13" s="11" t="s">
        <v>249</v>
      </c>
      <c r="D13" s="14">
        <v>1</v>
      </c>
    </row>
    <row r="14" spans="1:8" x14ac:dyDescent="0.25">
      <c r="A14" s="11" t="s">
        <v>90</v>
      </c>
      <c r="B14" s="19" t="s">
        <v>37</v>
      </c>
      <c r="C14" s="11" t="s">
        <v>250</v>
      </c>
      <c r="D14" s="14">
        <v>1</v>
      </c>
    </row>
    <row r="15" spans="1:8" x14ac:dyDescent="0.25">
      <c r="A15" s="11" t="s">
        <v>91</v>
      </c>
      <c r="B15" s="19" t="s">
        <v>37</v>
      </c>
      <c r="C15" s="11" t="s">
        <v>251</v>
      </c>
      <c r="D15" s="14">
        <v>1</v>
      </c>
    </row>
    <row r="16" spans="1:8" x14ac:dyDescent="0.25">
      <c r="A16" s="11" t="s">
        <v>92</v>
      </c>
      <c r="B16" s="19" t="s">
        <v>37</v>
      </c>
      <c r="C16" s="11" t="s">
        <v>252</v>
      </c>
      <c r="D16" s="14">
        <v>1</v>
      </c>
    </row>
    <row r="17" spans="1:4" x14ac:dyDescent="0.25">
      <c r="A17" s="11" t="s">
        <v>93</v>
      </c>
      <c r="B17" s="19" t="s">
        <v>37</v>
      </c>
      <c r="C17" s="11" t="s">
        <v>253</v>
      </c>
      <c r="D17" s="14">
        <v>1</v>
      </c>
    </row>
    <row r="18" spans="1:4" x14ac:dyDescent="0.25">
      <c r="A18" s="19" t="s">
        <v>94</v>
      </c>
      <c r="B18" s="19" t="s">
        <v>37</v>
      </c>
      <c r="C18" s="11" t="s">
        <v>254</v>
      </c>
      <c r="D18" s="14">
        <v>1</v>
      </c>
    </row>
    <row r="19" spans="1:4" x14ac:dyDescent="0.25">
      <c r="A19" s="11" t="s">
        <v>95</v>
      </c>
      <c r="B19" s="19" t="s">
        <v>37</v>
      </c>
      <c r="C19" s="11" t="s">
        <v>255</v>
      </c>
      <c r="D19" s="14">
        <v>1</v>
      </c>
    </row>
    <row r="20" spans="1:4" x14ac:dyDescent="0.25">
      <c r="A20" s="11" t="s">
        <v>96</v>
      </c>
      <c r="B20" s="19" t="s">
        <v>37</v>
      </c>
      <c r="C20" s="11" t="s">
        <v>256</v>
      </c>
      <c r="D20" s="14">
        <v>1</v>
      </c>
    </row>
    <row r="21" spans="1:4" x14ac:dyDescent="0.25">
      <c r="A21" s="11" t="s">
        <v>97</v>
      </c>
      <c r="B21" s="11" t="s">
        <v>36</v>
      </c>
      <c r="C21" s="36" t="s">
        <v>278</v>
      </c>
      <c r="D21" s="14">
        <v>1</v>
      </c>
    </row>
    <row r="22" spans="1:4" x14ac:dyDescent="0.25">
      <c r="A22" s="11" t="s">
        <v>213</v>
      </c>
      <c r="B22" s="11" t="s">
        <v>43</v>
      </c>
      <c r="C22" s="36" t="s">
        <v>279</v>
      </c>
      <c r="D22" s="14">
        <v>1</v>
      </c>
    </row>
    <row r="23" spans="1:4" x14ac:dyDescent="0.25">
      <c r="A23" s="11" t="s">
        <v>98</v>
      </c>
      <c r="B23" s="11" t="s">
        <v>36</v>
      </c>
      <c r="C23" s="36" t="s">
        <v>280</v>
      </c>
      <c r="D23" s="14">
        <v>1</v>
      </c>
    </row>
    <row r="24" spans="1:4" x14ac:dyDescent="0.25">
      <c r="A24" s="11" t="s">
        <v>214</v>
      </c>
      <c r="B24" s="11" t="s">
        <v>43</v>
      </c>
      <c r="C24" s="36" t="s">
        <v>281</v>
      </c>
      <c r="D24" s="14">
        <v>1</v>
      </c>
    </row>
    <row r="25" spans="1:4" x14ac:dyDescent="0.25">
      <c r="A25" s="11" t="s">
        <v>110</v>
      </c>
      <c r="B25" s="11" t="s">
        <v>36</v>
      </c>
      <c r="C25" s="36" t="s">
        <v>282</v>
      </c>
      <c r="D25" s="14">
        <v>1</v>
      </c>
    </row>
    <row r="26" spans="1:4" x14ac:dyDescent="0.25">
      <c r="A26" s="11" t="s">
        <v>215</v>
      </c>
      <c r="B26" s="11" t="s">
        <v>43</v>
      </c>
      <c r="C26" s="36" t="s">
        <v>283</v>
      </c>
      <c r="D26" s="14">
        <v>1</v>
      </c>
    </row>
    <row r="27" spans="1:4" x14ac:dyDescent="0.25">
      <c r="A27" s="11" t="s">
        <v>99</v>
      </c>
      <c r="B27" s="11" t="s">
        <v>36</v>
      </c>
      <c r="C27" s="36" t="s">
        <v>284</v>
      </c>
      <c r="D27" s="14">
        <v>1</v>
      </c>
    </row>
    <row r="28" spans="1:4" x14ac:dyDescent="0.25">
      <c r="A28" s="11" t="s">
        <v>216</v>
      </c>
      <c r="B28" s="11" t="s">
        <v>43</v>
      </c>
      <c r="C28" s="36" t="s">
        <v>285</v>
      </c>
      <c r="D28" s="14">
        <v>1</v>
      </c>
    </row>
    <row r="29" spans="1:4" x14ac:dyDescent="0.25">
      <c r="A29" s="11" t="s">
        <v>100</v>
      </c>
      <c r="B29" s="11" t="s">
        <v>36</v>
      </c>
      <c r="C29" s="36" t="s">
        <v>286</v>
      </c>
      <c r="D29" s="14">
        <v>1</v>
      </c>
    </row>
    <row r="30" spans="1:4" x14ac:dyDescent="0.25">
      <c r="A30" s="11" t="s">
        <v>217</v>
      </c>
      <c r="B30" s="11" t="s">
        <v>43</v>
      </c>
      <c r="C30" s="36" t="s">
        <v>290</v>
      </c>
      <c r="D30" s="14">
        <v>1</v>
      </c>
    </row>
    <row r="31" spans="1:4" x14ac:dyDescent="0.25">
      <c r="A31" s="11" t="s">
        <v>101</v>
      </c>
      <c r="B31" s="11" t="s">
        <v>36</v>
      </c>
      <c r="C31" s="36" t="s">
        <v>291</v>
      </c>
      <c r="D31" s="14">
        <v>1</v>
      </c>
    </row>
    <row r="32" spans="1:4" x14ac:dyDescent="0.25">
      <c r="A32" s="11" t="s">
        <v>218</v>
      </c>
      <c r="B32" s="11" t="s">
        <v>43</v>
      </c>
      <c r="C32" s="36" t="s">
        <v>287</v>
      </c>
      <c r="D32" s="14">
        <v>1</v>
      </c>
    </row>
    <row r="33" spans="1:4" x14ac:dyDescent="0.25">
      <c r="A33" s="11" t="s">
        <v>102</v>
      </c>
      <c r="B33" s="11" t="s">
        <v>36</v>
      </c>
      <c r="C33" s="36" t="s">
        <v>288</v>
      </c>
      <c r="D33" s="14">
        <v>1</v>
      </c>
    </row>
    <row r="34" spans="1:4" x14ac:dyDescent="0.25">
      <c r="A34" s="11" t="s">
        <v>219</v>
      </c>
      <c r="B34" s="11" t="s">
        <v>43</v>
      </c>
      <c r="C34" s="36" t="s">
        <v>292</v>
      </c>
      <c r="D34" s="14">
        <v>1</v>
      </c>
    </row>
    <row r="35" spans="1:4" x14ac:dyDescent="0.25">
      <c r="A35" s="11" t="s">
        <v>103</v>
      </c>
      <c r="B35" s="11" t="s">
        <v>36</v>
      </c>
      <c r="C35" s="36" t="s">
        <v>293</v>
      </c>
      <c r="D35" s="14">
        <v>1</v>
      </c>
    </row>
    <row r="36" spans="1:4" x14ac:dyDescent="0.25">
      <c r="A36" s="11" t="s">
        <v>220</v>
      </c>
      <c r="B36" s="11" t="s">
        <v>43</v>
      </c>
      <c r="C36" s="36" t="s">
        <v>289</v>
      </c>
      <c r="D36" s="14">
        <v>1</v>
      </c>
    </row>
    <row r="37" spans="1:4" x14ac:dyDescent="0.25">
      <c r="A37" s="11" t="s">
        <v>221</v>
      </c>
      <c r="B37" s="11" t="s">
        <v>36</v>
      </c>
      <c r="C37" s="36" t="s">
        <v>294</v>
      </c>
      <c r="D37" s="14">
        <v>1</v>
      </c>
    </row>
    <row r="38" spans="1:4" x14ac:dyDescent="0.25">
      <c r="A38" s="11" t="s">
        <v>104</v>
      </c>
      <c r="B38" s="11" t="s">
        <v>43</v>
      </c>
      <c r="C38" s="36" t="s">
        <v>295</v>
      </c>
      <c r="D38" s="14">
        <v>1</v>
      </c>
    </row>
    <row r="39" spans="1:4" x14ac:dyDescent="0.25">
      <c r="A39" s="11" t="s">
        <v>108</v>
      </c>
      <c r="B39" s="11" t="s">
        <v>41</v>
      </c>
      <c r="C39" s="37" t="s">
        <v>195</v>
      </c>
      <c r="D39" s="14">
        <v>1</v>
      </c>
    </row>
    <row r="40" spans="1:4" x14ac:dyDescent="0.25">
      <c r="A40" s="11" t="s">
        <v>222</v>
      </c>
      <c r="B40" s="11" t="s">
        <v>41</v>
      </c>
      <c r="C40" s="37" t="s">
        <v>448</v>
      </c>
      <c r="D40" s="14"/>
    </row>
    <row r="41" spans="1:4" s="10" customFormat="1" x14ac:dyDescent="0.25">
      <c r="B41" s="10" t="s">
        <v>41</v>
      </c>
      <c r="C41" s="43" t="s">
        <v>447</v>
      </c>
      <c r="D41" s="42">
        <v>1</v>
      </c>
    </row>
    <row r="42" spans="1:4" x14ac:dyDescent="0.25">
      <c r="A42" s="11" t="s">
        <v>109</v>
      </c>
      <c r="B42" s="11" t="s">
        <v>42</v>
      </c>
      <c r="C42" s="37" t="s">
        <v>270</v>
      </c>
      <c r="D42" s="14">
        <v>1</v>
      </c>
    </row>
    <row r="43" spans="1:4" x14ac:dyDescent="0.25">
      <c r="A43" s="11" t="s">
        <v>105</v>
      </c>
      <c r="B43" s="11" t="s">
        <v>38</v>
      </c>
      <c r="C43" s="11" t="s">
        <v>261</v>
      </c>
      <c r="D43" s="14">
        <v>1</v>
      </c>
    </row>
    <row r="44" spans="1:4" x14ac:dyDescent="0.25">
      <c r="A44" s="11" t="s">
        <v>106</v>
      </c>
      <c r="B44" s="11" t="s">
        <v>44</v>
      </c>
      <c r="C44" s="36" t="s">
        <v>264</v>
      </c>
      <c r="D44" s="14">
        <v>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82"/>
  <sheetViews>
    <sheetView tabSelected="1" workbookViewId="0">
      <pane ySplit="1" topLeftCell="A56" activePane="bottomLeft" state="frozen"/>
      <selection activeCell="F21" sqref="F21"/>
      <selection pane="bottomLeft" activeCell="A2" sqref="A2:E57"/>
    </sheetView>
  </sheetViews>
  <sheetFormatPr defaultRowHeight="15" x14ac:dyDescent="0.25"/>
  <cols>
    <col min="1" max="1" width="39.28515625" customWidth="1"/>
    <col min="2" max="2" width="45.7109375" customWidth="1"/>
    <col min="3" max="3" width="6.28515625" customWidth="1"/>
    <col min="4" max="4" width="40.85546875" style="17" customWidth="1"/>
    <col min="5" max="5" width="41.42578125" customWidth="1"/>
  </cols>
  <sheetData>
    <row r="1" spans="1:5" s="7" customFormat="1" x14ac:dyDescent="0.25">
      <c r="A1" s="16" t="s">
        <v>66</v>
      </c>
      <c r="B1" s="7" t="s">
        <v>69</v>
      </c>
      <c r="C1" s="7" t="s">
        <v>466</v>
      </c>
      <c r="D1" s="16" t="s">
        <v>67</v>
      </c>
      <c r="E1" s="16" t="s">
        <v>68</v>
      </c>
    </row>
    <row r="2" spans="1:5" x14ac:dyDescent="0.25">
      <c r="A2" s="15" t="s">
        <v>107</v>
      </c>
      <c r="B2" s="15" t="s">
        <v>156</v>
      </c>
      <c r="C2" s="44">
        <v>2</v>
      </c>
      <c r="D2" s="25" t="s">
        <v>77</v>
      </c>
      <c r="E2" s="15" t="s">
        <v>78</v>
      </c>
    </row>
    <row r="3" spans="1:5" x14ac:dyDescent="0.25">
      <c r="A3" s="15" t="s">
        <v>108</v>
      </c>
      <c r="B3" s="15" t="s">
        <v>156</v>
      </c>
      <c r="C3" s="44">
        <v>2</v>
      </c>
      <c r="D3" s="25" t="s">
        <v>76</v>
      </c>
      <c r="E3" s="15" t="s">
        <v>78</v>
      </c>
    </row>
    <row r="4" spans="1:5" x14ac:dyDescent="0.25">
      <c r="A4" s="15" t="s">
        <v>109</v>
      </c>
      <c r="B4" s="15" t="s">
        <v>156</v>
      </c>
      <c r="C4" s="44">
        <v>2</v>
      </c>
      <c r="D4" s="25" t="s">
        <v>75</v>
      </c>
      <c r="E4" s="15" t="s">
        <v>78</v>
      </c>
    </row>
    <row r="5" spans="1:5" x14ac:dyDescent="0.25">
      <c r="A5" s="15" t="s">
        <v>110</v>
      </c>
      <c r="B5" s="15" t="s">
        <v>156</v>
      </c>
      <c r="C5" s="44">
        <v>2</v>
      </c>
      <c r="D5" s="11" t="s">
        <v>65</v>
      </c>
      <c r="E5" s="15" t="s">
        <v>78</v>
      </c>
    </row>
    <row r="6" spans="1:5" x14ac:dyDescent="0.25">
      <c r="A6" s="15" t="s">
        <v>111</v>
      </c>
      <c r="B6" s="15" t="s">
        <v>156</v>
      </c>
      <c r="C6" s="44">
        <v>2</v>
      </c>
      <c r="D6" s="11" t="s">
        <v>64</v>
      </c>
      <c r="E6" s="15" t="s">
        <v>78</v>
      </c>
    </row>
    <row r="7" spans="1:5" x14ac:dyDescent="0.25">
      <c r="A7" s="15" t="s">
        <v>112</v>
      </c>
      <c r="B7" s="15" t="s">
        <v>156</v>
      </c>
      <c r="C7" s="44">
        <v>2</v>
      </c>
      <c r="D7" s="11" t="s">
        <v>63</v>
      </c>
      <c r="E7" s="15" t="s">
        <v>78</v>
      </c>
    </row>
    <row r="8" spans="1:5" x14ac:dyDescent="0.25">
      <c r="A8" s="15" t="s">
        <v>113</v>
      </c>
      <c r="B8" s="15" t="s">
        <v>156</v>
      </c>
      <c r="C8" s="44">
        <v>2</v>
      </c>
      <c r="D8" s="11" t="s">
        <v>62</v>
      </c>
      <c r="E8" s="15" t="s">
        <v>78</v>
      </c>
    </row>
    <row r="9" spans="1:5" x14ac:dyDescent="0.25">
      <c r="A9" s="15" t="s">
        <v>114</v>
      </c>
      <c r="B9" s="15" t="s">
        <v>156</v>
      </c>
      <c r="C9" s="44">
        <v>2</v>
      </c>
      <c r="D9" s="11" t="s">
        <v>61</v>
      </c>
      <c r="E9" s="15" t="s">
        <v>78</v>
      </c>
    </row>
    <row r="10" spans="1:5" x14ac:dyDescent="0.25">
      <c r="A10" s="15" t="s">
        <v>115</v>
      </c>
      <c r="B10" s="15" t="s">
        <v>156</v>
      </c>
      <c r="C10" s="44">
        <v>2</v>
      </c>
      <c r="D10" s="11" t="s">
        <v>60</v>
      </c>
      <c r="E10" s="15" t="s">
        <v>78</v>
      </c>
    </row>
    <row r="11" spans="1:5" x14ac:dyDescent="0.25">
      <c r="A11" s="15" t="s">
        <v>116</v>
      </c>
      <c r="B11" s="15" t="s">
        <v>156</v>
      </c>
      <c r="C11" s="44">
        <v>2</v>
      </c>
      <c r="D11" s="10" t="s">
        <v>59</v>
      </c>
      <c r="E11" s="15" t="s">
        <v>78</v>
      </c>
    </row>
    <row r="12" spans="1:5" x14ac:dyDescent="0.25">
      <c r="A12" s="15" t="s">
        <v>117</v>
      </c>
      <c r="B12" s="15" t="s">
        <v>156</v>
      </c>
      <c r="C12" s="44">
        <v>2</v>
      </c>
      <c r="D12" s="10" t="s">
        <v>58</v>
      </c>
      <c r="E12" s="15" t="s">
        <v>78</v>
      </c>
    </row>
    <row r="13" spans="1:5" x14ac:dyDescent="0.25">
      <c r="A13" s="15" t="s">
        <v>118</v>
      </c>
      <c r="B13" s="15" t="s">
        <v>156</v>
      </c>
      <c r="C13" s="44">
        <v>2</v>
      </c>
      <c r="D13" s="10" t="s">
        <v>57</v>
      </c>
      <c r="E13" s="15" t="s">
        <v>78</v>
      </c>
    </row>
    <row r="14" spans="1:5" x14ac:dyDescent="0.25">
      <c r="A14" s="15" t="s">
        <v>119</v>
      </c>
      <c r="B14" s="15" t="s">
        <v>156</v>
      </c>
      <c r="C14" s="44">
        <v>2</v>
      </c>
      <c r="D14" s="10" t="s">
        <v>56</v>
      </c>
      <c r="E14" s="15" t="s">
        <v>78</v>
      </c>
    </row>
    <row r="15" spans="1:5" x14ac:dyDescent="0.25">
      <c r="A15" s="15" t="s">
        <v>120</v>
      </c>
      <c r="B15" s="15" t="s">
        <v>156</v>
      </c>
      <c r="C15" s="44">
        <v>2</v>
      </c>
      <c r="D15" s="10" t="s">
        <v>55</v>
      </c>
      <c r="E15" s="15" t="s">
        <v>78</v>
      </c>
    </row>
    <row r="16" spans="1:5" x14ac:dyDescent="0.25">
      <c r="A16" s="15" t="s">
        <v>121</v>
      </c>
      <c r="B16" s="15" t="s">
        <v>156</v>
      </c>
      <c r="C16" s="44">
        <v>2</v>
      </c>
      <c r="D16" s="25" t="s">
        <v>54</v>
      </c>
      <c r="E16" s="15" t="s">
        <v>78</v>
      </c>
    </row>
    <row r="17" spans="1:5" x14ac:dyDescent="0.25">
      <c r="A17" s="15" t="s">
        <v>122</v>
      </c>
      <c r="B17" s="15" t="s">
        <v>156</v>
      </c>
      <c r="C17" s="44">
        <v>2</v>
      </c>
      <c r="D17" s="11" t="s">
        <v>53</v>
      </c>
      <c r="E17" s="15" t="s">
        <v>78</v>
      </c>
    </row>
    <row r="18" spans="1:5" x14ac:dyDescent="0.25">
      <c r="A18" s="26" t="s">
        <v>123</v>
      </c>
      <c r="B18" s="15" t="s">
        <v>156</v>
      </c>
      <c r="C18" s="44">
        <v>2</v>
      </c>
      <c r="D18" s="11" t="s">
        <v>52</v>
      </c>
      <c r="E18" s="15" t="s">
        <v>78</v>
      </c>
    </row>
    <row r="19" spans="1:5" x14ac:dyDescent="0.25">
      <c r="A19" s="26" t="s">
        <v>143</v>
      </c>
      <c r="B19" s="15" t="s">
        <v>178</v>
      </c>
      <c r="C19" s="44">
        <v>2</v>
      </c>
      <c r="D19" s="11" t="s">
        <v>125</v>
      </c>
      <c r="E19" t="s">
        <v>79</v>
      </c>
    </row>
    <row r="20" spans="1:5" x14ac:dyDescent="0.25">
      <c r="A20" s="26" t="s">
        <v>144</v>
      </c>
      <c r="B20" s="15" t="s">
        <v>177</v>
      </c>
      <c r="C20" s="44">
        <v>2</v>
      </c>
      <c r="D20" s="11" t="s">
        <v>126</v>
      </c>
      <c r="E20" t="s">
        <v>80</v>
      </c>
    </row>
    <row r="21" spans="1:5" x14ac:dyDescent="0.25">
      <c r="A21" s="26" t="s">
        <v>145</v>
      </c>
      <c r="B21" s="15" t="s">
        <v>178</v>
      </c>
      <c r="C21" s="44">
        <v>2</v>
      </c>
      <c r="D21" s="11" t="s">
        <v>127</v>
      </c>
      <c r="E21" t="s">
        <v>81</v>
      </c>
    </row>
    <row r="22" spans="1:5" x14ac:dyDescent="0.25">
      <c r="A22" s="26" t="s">
        <v>146</v>
      </c>
      <c r="B22" s="15" t="s">
        <v>177</v>
      </c>
      <c r="C22" s="44">
        <v>2</v>
      </c>
      <c r="D22" s="11" t="s">
        <v>128</v>
      </c>
      <c r="E22" t="s">
        <v>82</v>
      </c>
    </row>
    <row r="23" spans="1:5" x14ac:dyDescent="0.25">
      <c r="A23" s="26" t="s">
        <v>147</v>
      </c>
      <c r="B23" s="15" t="s">
        <v>178</v>
      </c>
      <c r="C23" s="44">
        <v>2</v>
      </c>
      <c r="D23" s="11" t="s">
        <v>129</v>
      </c>
      <c r="E23" t="s">
        <v>83</v>
      </c>
    </row>
    <row r="24" spans="1:5" x14ac:dyDescent="0.25">
      <c r="A24" s="26" t="s">
        <v>148</v>
      </c>
      <c r="B24" s="15" t="s">
        <v>177</v>
      </c>
      <c r="C24" s="44">
        <v>2</v>
      </c>
      <c r="D24" s="11" t="s">
        <v>130</v>
      </c>
      <c r="E24" t="s">
        <v>84</v>
      </c>
    </row>
    <row r="25" spans="1:5" x14ac:dyDescent="0.25">
      <c r="A25" s="26" t="s">
        <v>149</v>
      </c>
      <c r="B25" s="15" t="s">
        <v>178</v>
      </c>
      <c r="C25" s="44">
        <v>2</v>
      </c>
      <c r="D25" s="11" t="s">
        <v>131</v>
      </c>
      <c r="E25" t="s">
        <v>85</v>
      </c>
    </row>
    <row r="26" spans="1:5" x14ac:dyDescent="0.25">
      <c r="A26" s="26" t="s">
        <v>150</v>
      </c>
      <c r="B26" s="15" t="s">
        <v>177</v>
      </c>
      <c r="C26" s="44">
        <v>2</v>
      </c>
      <c r="D26" s="11" t="s">
        <v>132</v>
      </c>
      <c r="E26" t="s">
        <v>86</v>
      </c>
    </row>
    <row r="27" spans="1:5" x14ac:dyDescent="0.25">
      <c r="A27" s="26" t="s">
        <v>151</v>
      </c>
      <c r="B27" s="15" t="s">
        <v>178</v>
      </c>
      <c r="C27" s="44">
        <v>2</v>
      </c>
      <c r="D27" s="11" t="s">
        <v>133</v>
      </c>
      <c r="E27" t="s">
        <v>87</v>
      </c>
    </row>
    <row r="28" spans="1:5" x14ac:dyDescent="0.25">
      <c r="A28" s="26" t="s">
        <v>152</v>
      </c>
      <c r="B28" s="15" t="s">
        <v>177</v>
      </c>
      <c r="C28" s="44">
        <v>2</v>
      </c>
      <c r="D28" s="11" t="s">
        <v>134</v>
      </c>
      <c r="E28" t="s">
        <v>88</v>
      </c>
    </row>
    <row r="29" spans="1:5" x14ac:dyDescent="0.25">
      <c r="A29" s="26" t="s">
        <v>153</v>
      </c>
      <c r="B29" s="15" t="s">
        <v>178</v>
      </c>
      <c r="C29" s="44">
        <v>2</v>
      </c>
      <c r="D29" s="11" t="s">
        <v>135</v>
      </c>
      <c r="E29" t="s">
        <v>89</v>
      </c>
    </row>
    <row r="30" spans="1:5" x14ac:dyDescent="0.25">
      <c r="A30" s="26" t="s">
        <v>85</v>
      </c>
      <c r="B30" s="15" t="s">
        <v>177</v>
      </c>
      <c r="C30" s="44">
        <v>2</v>
      </c>
      <c r="D30" s="11" t="s">
        <v>136</v>
      </c>
      <c r="E30" t="s">
        <v>90</v>
      </c>
    </row>
    <row r="31" spans="1:5" x14ac:dyDescent="0.25">
      <c r="A31" s="26" t="s">
        <v>86</v>
      </c>
      <c r="B31" s="15" t="s">
        <v>178</v>
      </c>
      <c r="C31" s="44">
        <v>2</v>
      </c>
      <c r="D31" s="11" t="s">
        <v>137</v>
      </c>
      <c r="E31" t="s">
        <v>91</v>
      </c>
    </row>
    <row r="32" spans="1:5" x14ac:dyDescent="0.25">
      <c r="A32" s="26" t="s">
        <v>87</v>
      </c>
      <c r="B32" s="15" t="s">
        <v>177</v>
      </c>
      <c r="C32" s="44">
        <v>2</v>
      </c>
      <c r="D32" s="11" t="s">
        <v>138</v>
      </c>
      <c r="E32" t="s">
        <v>92</v>
      </c>
    </row>
    <row r="33" spans="1:5" x14ac:dyDescent="0.25">
      <c r="A33" s="26" t="s">
        <v>88</v>
      </c>
      <c r="B33" s="15" t="s">
        <v>178</v>
      </c>
      <c r="C33" s="44">
        <v>2</v>
      </c>
      <c r="D33" s="11" t="s">
        <v>139</v>
      </c>
      <c r="E33" t="s">
        <v>93</v>
      </c>
    </row>
    <row r="34" spans="1:5" x14ac:dyDescent="0.25">
      <c r="A34" s="26" t="s">
        <v>89</v>
      </c>
      <c r="B34" s="15" t="s">
        <v>177</v>
      </c>
      <c r="C34" s="44">
        <v>2</v>
      </c>
      <c r="D34" s="11" t="s">
        <v>140</v>
      </c>
      <c r="E34" s="8" t="s">
        <v>94</v>
      </c>
    </row>
    <row r="35" spans="1:5" x14ac:dyDescent="0.25">
      <c r="A35" s="26" t="s">
        <v>90</v>
      </c>
      <c r="B35" s="15" t="s">
        <v>178</v>
      </c>
      <c r="C35" s="44">
        <v>2</v>
      </c>
      <c r="D35" s="11" t="s">
        <v>141</v>
      </c>
      <c r="E35" t="s">
        <v>95</v>
      </c>
    </row>
    <row r="36" spans="1:5" x14ac:dyDescent="0.25">
      <c r="A36" s="26" t="s">
        <v>91</v>
      </c>
      <c r="B36" s="15" t="s">
        <v>178</v>
      </c>
      <c r="C36" s="44">
        <v>2</v>
      </c>
      <c r="D36" s="11" t="s">
        <v>142</v>
      </c>
      <c r="E36" t="s">
        <v>96</v>
      </c>
    </row>
    <row r="37" spans="1:5" s="11" customFormat="1" x14ac:dyDescent="0.25">
      <c r="A37" t="s">
        <v>204</v>
      </c>
      <c r="B37" s="29" t="s">
        <v>296</v>
      </c>
      <c r="C37" s="44">
        <v>2</v>
      </c>
      <c r="D37" s="15" t="s">
        <v>201</v>
      </c>
      <c r="E37" s="10" t="s">
        <v>97</v>
      </c>
    </row>
    <row r="38" spans="1:5" x14ac:dyDescent="0.25">
      <c r="A38" t="s">
        <v>205</v>
      </c>
      <c r="B38" s="29" t="s">
        <v>297</v>
      </c>
      <c r="C38" s="44">
        <v>2</v>
      </c>
      <c r="D38" s="15" t="s">
        <v>202</v>
      </c>
      <c r="E38" t="s">
        <v>213</v>
      </c>
    </row>
    <row r="39" spans="1:5" x14ac:dyDescent="0.25">
      <c r="A39" t="s">
        <v>206</v>
      </c>
      <c r="B39" s="29" t="s">
        <v>296</v>
      </c>
      <c r="C39" s="44">
        <v>2</v>
      </c>
      <c r="D39" s="15" t="s">
        <v>203</v>
      </c>
      <c r="E39" t="s">
        <v>98</v>
      </c>
    </row>
    <row r="40" spans="1:5" x14ac:dyDescent="0.25">
      <c r="A40" t="s">
        <v>207</v>
      </c>
      <c r="B40" s="30" t="s">
        <v>183</v>
      </c>
      <c r="C40" s="44">
        <v>2</v>
      </c>
      <c r="D40" s="15" t="s">
        <v>179</v>
      </c>
      <c r="E40" t="s">
        <v>214</v>
      </c>
    </row>
    <row r="41" spans="1:5" x14ac:dyDescent="0.25">
      <c r="A41" t="s">
        <v>208</v>
      </c>
      <c r="B41" s="30" t="s">
        <v>182</v>
      </c>
      <c r="C41" s="44">
        <v>2</v>
      </c>
      <c r="D41" s="15" t="s">
        <v>78</v>
      </c>
      <c r="E41" t="s">
        <v>110</v>
      </c>
    </row>
    <row r="42" spans="1:5" x14ac:dyDescent="0.25">
      <c r="A42" t="s">
        <v>209</v>
      </c>
      <c r="B42" s="30" t="s">
        <v>183</v>
      </c>
      <c r="C42" s="44">
        <v>2</v>
      </c>
      <c r="D42" s="15" t="s">
        <v>79</v>
      </c>
      <c r="E42" t="s">
        <v>215</v>
      </c>
    </row>
    <row r="43" spans="1:5" x14ac:dyDescent="0.25">
      <c r="A43" t="s">
        <v>210</v>
      </c>
      <c r="B43" s="30" t="s">
        <v>182</v>
      </c>
      <c r="C43" s="44">
        <v>2</v>
      </c>
      <c r="D43" s="15" t="s">
        <v>80</v>
      </c>
      <c r="E43" t="s">
        <v>99</v>
      </c>
    </row>
    <row r="44" spans="1:5" x14ac:dyDescent="0.25">
      <c r="A44" t="s">
        <v>211</v>
      </c>
      <c r="B44" s="30" t="s">
        <v>183</v>
      </c>
      <c r="C44" s="44">
        <v>2</v>
      </c>
      <c r="D44" s="15" t="s">
        <v>81</v>
      </c>
      <c r="E44" t="s">
        <v>216</v>
      </c>
    </row>
    <row r="45" spans="1:5" x14ac:dyDescent="0.25">
      <c r="A45" t="s">
        <v>212</v>
      </c>
      <c r="B45" s="30" t="s">
        <v>182</v>
      </c>
      <c r="C45" s="44">
        <v>2</v>
      </c>
      <c r="D45" s="15" t="s">
        <v>82</v>
      </c>
      <c r="E45" t="s">
        <v>100</v>
      </c>
    </row>
    <row r="46" spans="1:5" x14ac:dyDescent="0.25">
      <c r="A46" s="11" t="s">
        <v>131</v>
      </c>
      <c r="B46" s="31" t="s">
        <v>298</v>
      </c>
      <c r="C46" s="44">
        <v>2</v>
      </c>
      <c r="D46" s="15" t="s">
        <v>83</v>
      </c>
      <c r="E46" t="s">
        <v>217</v>
      </c>
    </row>
    <row r="47" spans="1:5" x14ac:dyDescent="0.25">
      <c r="A47" s="11" t="s">
        <v>132</v>
      </c>
      <c r="B47" s="31" t="s">
        <v>299</v>
      </c>
      <c r="C47" s="44">
        <v>2</v>
      </c>
      <c r="D47" s="15" t="s">
        <v>84</v>
      </c>
      <c r="E47" t="s">
        <v>101</v>
      </c>
    </row>
    <row r="48" spans="1:5" x14ac:dyDescent="0.25">
      <c r="A48" t="s">
        <v>310</v>
      </c>
      <c r="B48" s="31" t="s">
        <v>298</v>
      </c>
      <c r="C48" s="44">
        <v>2</v>
      </c>
      <c r="D48" t="s">
        <v>222</v>
      </c>
      <c r="E48" t="s">
        <v>218</v>
      </c>
    </row>
    <row r="49" spans="1:5" x14ac:dyDescent="0.25">
      <c r="A49" t="s">
        <v>311</v>
      </c>
      <c r="B49" s="31" t="s">
        <v>299</v>
      </c>
      <c r="C49" s="44">
        <v>2</v>
      </c>
      <c r="D49" t="s">
        <v>223</v>
      </c>
      <c r="E49" t="s">
        <v>102</v>
      </c>
    </row>
    <row r="50" spans="1:5" x14ac:dyDescent="0.25">
      <c r="A50" t="s">
        <v>312</v>
      </c>
      <c r="B50" s="31" t="s">
        <v>298</v>
      </c>
      <c r="C50" s="44">
        <v>2</v>
      </c>
      <c r="D50" t="s">
        <v>224</v>
      </c>
      <c r="E50" t="s">
        <v>219</v>
      </c>
    </row>
    <row r="51" spans="1:5" x14ac:dyDescent="0.25">
      <c r="A51" t="s">
        <v>313</v>
      </c>
      <c r="B51" s="32" t="s">
        <v>300</v>
      </c>
      <c r="C51" s="44">
        <v>2</v>
      </c>
      <c r="D51" t="s">
        <v>225</v>
      </c>
      <c r="E51" t="s">
        <v>103</v>
      </c>
    </row>
    <row r="52" spans="1:5" x14ac:dyDescent="0.25">
      <c r="A52" t="s">
        <v>314</v>
      </c>
      <c r="B52" s="33" t="s">
        <v>301</v>
      </c>
      <c r="C52" s="44">
        <v>2</v>
      </c>
      <c r="D52" t="s">
        <v>226</v>
      </c>
      <c r="E52" t="s">
        <v>220</v>
      </c>
    </row>
    <row r="53" spans="1:5" x14ac:dyDescent="0.25">
      <c r="A53" t="s">
        <v>315</v>
      </c>
      <c r="B53" s="33" t="s">
        <v>302</v>
      </c>
      <c r="C53" s="44">
        <v>2</v>
      </c>
      <c r="D53" t="s">
        <v>227</v>
      </c>
      <c r="E53" t="s">
        <v>221</v>
      </c>
    </row>
    <row r="54" spans="1:5" x14ac:dyDescent="0.25">
      <c r="A54" t="s">
        <v>316</v>
      </c>
      <c r="B54" s="33" t="s">
        <v>301</v>
      </c>
      <c r="C54" s="44">
        <v>2</v>
      </c>
      <c r="D54" t="s">
        <v>228</v>
      </c>
      <c r="E54" t="s">
        <v>104</v>
      </c>
    </row>
    <row r="55" spans="1:5" x14ac:dyDescent="0.25">
      <c r="A55" t="s">
        <v>317</v>
      </c>
      <c r="B55" s="28" t="s">
        <v>453</v>
      </c>
      <c r="C55" s="44">
        <v>2</v>
      </c>
      <c r="D55" t="s">
        <v>229</v>
      </c>
      <c r="E55" t="s">
        <v>105</v>
      </c>
    </row>
    <row r="56" spans="1:5" x14ac:dyDescent="0.25">
      <c r="A56" t="s">
        <v>318</v>
      </c>
      <c r="B56" s="27" t="s">
        <v>454</v>
      </c>
      <c r="C56" s="44">
        <v>2</v>
      </c>
      <c r="D56" t="s">
        <v>230</v>
      </c>
      <c r="E56" t="s">
        <v>108</v>
      </c>
    </row>
    <row r="57" spans="1:5" x14ac:dyDescent="0.25">
      <c r="A57" t="s">
        <v>319</v>
      </c>
      <c r="B57" s="27" t="s">
        <v>454</v>
      </c>
      <c r="C57" s="44">
        <v>2</v>
      </c>
      <c r="D57" t="s">
        <v>277</v>
      </c>
      <c r="E57" t="s">
        <v>222</v>
      </c>
    </row>
    <row r="58" spans="1:5" x14ac:dyDescent="0.25">
      <c r="A58" s="11"/>
      <c r="B58" s="11"/>
      <c r="C58" s="11"/>
      <c r="D58" s="11"/>
      <c r="E58" s="11"/>
    </row>
    <row r="59" spans="1:5" x14ac:dyDescent="0.25">
      <c r="A59" s="11"/>
      <c r="B59" s="11"/>
      <c r="C59" s="11"/>
      <c r="D59" s="11"/>
      <c r="E59" s="11"/>
    </row>
    <row r="60" spans="1:5" x14ac:dyDescent="0.25">
      <c r="A60" s="11"/>
      <c r="B60" s="11"/>
      <c r="C60" s="11"/>
      <c r="D60" s="11"/>
      <c r="E60" s="11"/>
    </row>
    <row r="61" spans="1:5" x14ac:dyDescent="0.25">
      <c r="A61" s="11"/>
      <c r="B61" s="11"/>
      <c r="C61" s="11"/>
      <c r="D61" s="11"/>
      <c r="E61" s="11"/>
    </row>
    <row r="62" spans="1:5" x14ac:dyDescent="0.25">
      <c r="A62" s="11"/>
      <c r="B62" s="11"/>
      <c r="C62" s="11"/>
      <c r="D62" s="11"/>
      <c r="E62" s="11"/>
    </row>
    <row r="63" spans="1:5" x14ac:dyDescent="0.25">
      <c r="A63" s="11"/>
      <c r="B63" s="11"/>
      <c r="C63" s="11"/>
      <c r="D63" s="11"/>
      <c r="E63" s="11"/>
    </row>
    <row r="64" spans="1:5" x14ac:dyDescent="0.25">
      <c r="A64" s="11"/>
      <c r="B64" s="11"/>
      <c r="C64" s="11"/>
      <c r="D64" s="11"/>
      <c r="E64" s="11"/>
    </row>
    <row r="65" spans="1:5" x14ac:dyDescent="0.25">
      <c r="A65" s="11"/>
      <c r="B65" s="11"/>
      <c r="C65" s="11"/>
      <c r="D65" s="11"/>
      <c r="E65" s="11"/>
    </row>
    <row r="66" spans="1:5" x14ac:dyDescent="0.25">
      <c r="A66" s="11"/>
      <c r="B66" s="11"/>
      <c r="C66" s="11"/>
      <c r="D66" s="11"/>
      <c r="E66" s="11"/>
    </row>
    <row r="67" spans="1:5" x14ac:dyDescent="0.25">
      <c r="A67" s="11"/>
      <c r="B67" s="11"/>
      <c r="C67" s="11"/>
      <c r="D67" s="11"/>
      <c r="E67" s="11"/>
    </row>
    <row r="68" spans="1:5" x14ac:dyDescent="0.25">
      <c r="A68" s="11"/>
      <c r="B68" s="11"/>
      <c r="C68" s="11"/>
      <c r="D68" s="11"/>
      <c r="E68" s="11"/>
    </row>
    <row r="69" spans="1:5" x14ac:dyDescent="0.25">
      <c r="A69" s="11"/>
      <c r="B69" s="11"/>
      <c r="C69" s="11"/>
      <c r="D69" s="11"/>
      <c r="E69" s="11"/>
    </row>
    <row r="70" spans="1:5" x14ac:dyDescent="0.25">
      <c r="A70" s="11"/>
      <c r="B70" s="11"/>
      <c r="C70" s="11"/>
      <c r="D70" s="11"/>
      <c r="E70" s="11"/>
    </row>
    <row r="71" spans="1:5" x14ac:dyDescent="0.25">
      <c r="A71" s="11"/>
      <c r="B71" s="11"/>
      <c r="C71" s="11"/>
      <c r="D71" s="11"/>
      <c r="E71" s="11"/>
    </row>
    <row r="72" spans="1:5" x14ac:dyDescent="0.25">
      <c r="A72" s="11"/>
      <c r="B72" s="11"/>
      <c r="C72" s="11"/>
      <c r="D72" s="11"/>
      <c r="E72" s="11"/>
    </row>
    <row r="73" spans="1:5" x14ac:dyDescent="0.25">
      <c r="A73" s="11"/>
      <c r="B73" s="11"/>
      <c r="C73" s="11"/>
      <c r="D73" s="11"/>
      <c r="E73" s="11"/>
    </row>
    <row r="74" spans="1:5" x14ac:dyDescent="0.25">
      <c r="A74" s="11"/>
      <c r="B74" s="11"/>
      <c r="C74" s="11"/>
      <c r="D74" s="11"/>
      <c r="E74" s="11"/>
    </row>
    <row r="75" spans="1:5" x14ac:dyDescent="0.25">
      <c r="A75" s="11"/>
      <c r="B75" s="11"/>
      <c r="C75" s="11"/>
      <c r="D75" s="11"/>
      <c r="E75" s="11"/>
    </row>
    <row r="76" spans="1:5" x14ac:dyDescent="0.25">
      <c r="A76" s="11"/>
      <c r="B76" s="11"/>
      <c r="C76" s="11"/>
      <c r="D76" s="11"/>
      <c r="E76" s="11"/>
    </row>
    <row r="77" spans="1:5" x14ac:dyDescent="0.25">
      <c r="A77" s="11"/>
      <c r="B77" s="11"/>
      <c r="C77" s="11"/>
      <c r="D77" s="11"/>
      <c r="E77" s="11"/>
    </row>
    <row r="78" spans="1:5" x14ac:dyDescent="0.25">
      <c r="A78" s="11"/>
      <c r="B78" s="11"/>
      <c r="C78" s="11"/>
      <c r="D78" s="11"/>
      <c r="E78" s="11"/>
    </row>
    <row r="79" spans="1:5" x14ac:dyDescent="0.25">
      <c r="A79" s="11"/>
      <c r="B79" s="11"/>
      <c r="C79" s="11"/>
      <c r="D79" s="11"/>
      <c r="E79" s="11"/>
    </row>
    <row r="80" spans="1:5" x14ac:dyDescent="0.25">
      <c r="A80" s="11"/>
      <c r="B80" s="11"/>
      <c r="C80" s="11"/>
      <c r="D80" s="11"/>
      <c r="E80" s="11"/>
    </row>
    <row r="81" spans="1:5" x14ac:dyDescent="0.25">
      <c r="A81" s="11"/>
      <c r="B81" s="11"/>
      <c r="C81" s="11"/>
      <c r="D81" s="11"/>
      <c r="E81" s="11"/>
    </row>
    <row r="82" spans="1:5" x14ac:dyDescent="0.25">
      <c r="A82" s="11"/>
      <c r="B82" s="11"/>
      <c r="C82" s="11"/>
      <c r="D82" s="11"/>
      <c r="E82" s="11"/>
    </row>
    <row r="83" spans="1:5" x14ac:dyDescent="0.25">
      <c r="A83" s="11"/>
      <c r="B83" s="11"/>
      <c r="C83" s="11"/>
      <c r="D83" s="11"/>
      <c r="E83" s="11"/>
    </row>
    <row r="84" spans="1:5" x14ac:dyDescent="0.25">
      <c r="A84" s="11"/>
      <c r="B84" s="11"/>
      <c r="C84" s="11"/>
      <c r="D84" s="11"/>
      <c r="E84" s="11"/>
    </row>
    <row r="85" spans="1:5" x14ac:dyDescent="0.25">
      <c r="A85" s="11"/>
      <c r="B85" s="11"/>
      <c r="C85" s="11"/>
      <c r="D85" s="11"/>
      <c r="E85" s="11"/>
    </row>
    <row r="86" spans="1:5" x14ac:dyDescent="0.25">
      <c r="A86" s="11"/>
      <c r="B86" s="11"/>
      <c r="C86" s="11"/>
      <c r="D86" s="11"/>
      <c r="E86" s="11"/>
    </row>
    <row r="87" spans="1:5" x14ac:dyDescent="0.25">
      <c r="A87" s="11"/>
      <c r="B87" s="11"/>
      <c r="C87" s="11"/>
      <c r="D87" s="11"/>
      <c r="E87" s="11"/>
    </row>
    <row r="88" spans="1:5" x14ac:dyDescent="0.25">
      <c r="A88" s="11"/>
      <c r="B88" s="11"/>
      <c r="C88" s="11"/>
      <c r="D88" s="11"/>
      <c r="E88" s="11"/>
    </row>
    <row r="89" spans="1:5" x14ac:dyDescent="0.25">
      <c r="A89" s="11"/>
      <c r="B89" s="11"/>
      <c r="C89" s="11"/>
      <c r="D89" s="11"/>
      <c r="E89" s="11"/>
    </row>
    <row r="90" spans="1:5" x14ac:dyDescent="0.25">
      <c r="A90" s="11"/>
      <c r="B90" s="11"/>
      <c r="C90" s="11"/>
      <c r="D90" s="11"/>
      <c r="E90" s="11"/>
    </row>
    <row r="91" spans="1:5" x14ac:dyDescent="0.25">
      <c r="A91" s="11"/>
      <c r="B91" s="11"/>
      <c r="C91" s="11"/>
      <c r="D91" s="11"/>
      <c r="E91" s="11"/>
    </row>
    <row r="92" spans="1:5" x14ac:dyDescent="0.25">
      <c r="A92" s="11"/>
      <c r="B92" s="11"/>
      <c r="C92" s="11"/>
      <c r="D92" s="11"/>
      <c r="E92" s="11"/>
    </row>
    <row r="93" spans="1:5" x14ac:dyDescent="0.25">
      <c r="A93" s="11"/>
      <c r="B93" s="11"/>
      <c r="C93" s="11"/>
      <c r="D93" s="11"/>
      <c r="E93" s="11"/>
    </row>
    <row r="94" spans="1:5" x14ac:dyDescent="0.25">
      <c r="A94" s="11"/>
      <c r="B94" s="11"/>
      <c r="C94" s="11"/>
      <c r="D94" s="11"/>
      <c r="E94" s="11"/>
    </row>
    <row r="95" spans="1:5" x14ac:dyDescent="0.25">
      <c r="A95" s="11"/>
      <c r="B95" s="11"/>
      <c r="C95" s="11"/>
      <c r="D95" s="11"/>
      <c r="E95" s="11"/>
    </row>
    <row r="96" spans="1:5" x14ac:dyDescent="0.25">
      <c r="A96" s="11"/>
      <c r="B96" s="11"/>
      <c r="C96" s="11"/>
      <c r="D96" s="11"/>
      <c r="E96" s="11"/>
    </row>
    <row r="97" spans="1:5" x14ac:dyDescent="0.25">
      <c r="A97" s="11"/>
      <c r="B97" s="11"/>
      <c r="C97" s="11"/>
      <c r="D97" s="11"/>
      <c r="E97" s="11"/>
    </row>
    <row r="98" spans="1:5" x14ac:dyDescent="0.25">
      <c r="A98" s="11"/>
      <c r="B98" s="11"/>
      <c r="C98" s="11"/>
      <c r="D98" s="11"/>
      <c r="E98" s="11"/>
    </row>
    <row r="99" spans="1:5" x14ac:dyDescent="0.25">
      <c r="A99" s="11"/>
      <c r="B99" s="11"/>
      <c r="C99" s="11"/>
      <c r="D99" s="11"/>
      <c r="E99" s="11"/>
    </row>
    <row r="100" spans="1:5" x14ac:dyDescent="0.25">
      <c r="A100" s="11"/>
      <c r="B100" s="11"/>
      <c r="C100" s="11"/>
      <c r="D100" s="11"/>
      <c r="E100" s="11"/>
    </row>
    <row r="101" spans="1:5" x14ac:dyDescent="0.25">
      <c r="A101" s="11"/>
      <c r="B101" s="11"/>
      <c r="C101" s="11"/>
      <c r="D101" s="11"/>
      <c r="E101" s="11"/>
    </row>
    <row r="102" spans="1:5" x14ac:dyDescent="0.25">
      <c r="A102" s="11"/>
      <c r="B102" s="11"/>
      <c r="C102" s="11"/>
      <c r="D102" s="11"/>
      <c r="E102" s="11"/>
    </row>
    <row r="103" spans="1:5" x14ac:dyDescent="0.25">
      <c r="A103" s="11"/>
      <c r="B103" s="11"/>
      <c r="C103" s="11"/>
      <c r="D103" s="11"/>
      <c r="E103" s="11"/>
    </row>
    <row r="104" spans="1:5" x14ac:dyDescent="0.25">
      <c r="A104" s="11"/>
      <c r="B104" s="11"/>
      <c r="C104" s="11"/>
      <c r="D104" s="11"/>
      <c r="E104" s="11"/>
    </row>
    <row r="105" spans="1:5" x14ac:dyDescent="0.25">
      <c r="A105" s="11"/>
      <c r="B105" s="11"/>
      <c r="C105" s="11"/>
      <c r="D105" s="11"/>
      <c r="E105" s="11"/>
    </row>
    <row r="106" spans="1:5" x14ac:dyDescent="0.25">
      <c r="A106" s="11"/>
      <c r="B106" s="11"/>
      <c r="C106" s="11"/>
      <c r="D106" s="11"/>
      <c r="E106" s="11"/>
    </row>
    <row r="107" spans="1:5" x14ac:dyDescent="0.25">
      <c r="A107" s="11"/>
      <c r="B107" s="11"/>
      <c r="C107" s="11"/>
      <c r="D107" s="11"/>
      <c r="E107" s="11"/>
    </row>
    <row r="108" spans="1:5" x14ac:dyDescent="0.25">
      <c r="A108" s="11"/>
      <c r="B108" s="11"/>
      <c r="C108" s="11"/>
      <c r="D108" s="11"/>
      <c r="E108" s="11"/>
    </row>
    <row r="109" spans="1:5" x14ac:dyDescent="0.25">
      <c r="A109" s="11"/>
      <c r="B109" s="11"/>
      <c r="C109" s="11"/>
      <c r="D109" s="11"/>
      <c r="E109" s="11"/>
    </row>
    <row r="110" spans="1:5" x14ac:dyDescent="0.25">
      <c r="A110" s="11"/>
      <c r="B110" s="11"/>
      <c r="C110" s="11"/>
      <c r="D110" s="11"/>
      <c r="E110" s="11"/>
    </row>
    <row r="111" spans="1:5" x14ac:dyDescent="0.25">
      <c r="A111" s="11"/>
      <c r="B111" s="11"/>
      <c r="C111" s="11"/>
      <c r="D111" s="11"/>
      <c r="E111" s="11"/>
    </row>
    <row r="112" spans="1:5" x14ac:dyDescent="0.25">
      <c r="A112" s="11"/>
      <c r="B112" s="11"/>
      <c r="C112" s="11"/>
      <c r="D112" s="11"/>
      <c r="E112" s="11"/>
    </row>
    <row r="113" spans="1:5" x14ac:dyDescent="0.25">
      <c r="A113" s="11"/>
      <c r="B113" s="11"/>
      <c r="C113" s="11"/>
      <c r="D113" s="11"/>
      <c r="E113" s="11"/>
    </row>
    <row r="114" spans="1:5" x14ac:dyDescent="0.25">
      <c r="A114" s="11"/>
      <c r="B114" s="11"/>
      <c r="C114" s="11"/>
      <c r="D114" s="11"/>
      <c r="E114" s="11"/>
    </row>
    <row r="115" spans="1:5" x14ac:dyDescent="0.25">
      <c r="A115" s="11"/>
      <c r="B115" s="11"/>
      <c r="C115" s="11"/>
      <c r="D115" s="11"/>
      <c r="E115" s="11"/>
    </row>
    <row r="116" spans="1:5" x14ac:dyDescent="0.25">
      <c r="A116" s="11"/>
      <c r="B116" s="11"/>
      <c r="C116" s="11"/>
      <c r="D116" s="11"/>
      <c r="E116" s="11"/>
    </row>
    <row r="117" spans="1:5" x14ac:dyDescent="0.25">
      <c r="A117" s="11"/>
      <c r="B117" s="11"/>
      <c r="C117" s="11"/>
      <c r="D117" s="11"/>
      <c r="E117" s="11"/>
    </row>
    <row r="118" spans="1:5" x14ac:dyDescent="0.25">
      <c r="A118" s="11"/>
      <c r="B118" s="11"/>
      <c r="C118" s="11"/>
      <c r="D118" s="11"/>
      <c r="E118" s="11"/>
    </row>
    <row r="119" spans="1:5" x14ac:dyDescent="0.25">
      <c r="A119" s="11"/>
      <c r="B119" s="11"/>
      <c r="C119" s="11"/>
      <c r="D119" s="11"/>
      <c r="E119" s="11"/>
    </row>
    <row r="120" spans="1:5" x14ac:dyDescent="0.25">
      <c r="A120" s="11"/>
      <c r="B120" s="11"/>
      <c r="C120" s="11"/>
      <c r="D120" s="11"/>
      <c r="E120" s="11"/>
    </row>
    <row r="121" spans="1:5" x14ac:dyDescent="0.25">
      <c r="A121" s="11"/>
      <c r="B121" s="11"/>
      <c r="C121" s="11"/>
      <c r="D121" s="11"/>
      <c r="E121" s="11"/>
    </row>
    <row r="122" spans="1:5" x14ac:dyDescent="0.25">
      <c r="A122" s="11"/>
      <c r="B122" s="11"/>
      <c r="C122" s="11"/>
      <c r="D122" s="11"/>
      <c r="E122" s="11"/>
    </row>
    <row r="123" spans="1:5" x14ac:dyDescent="0.25">
      <c r="A123" s="11"/>
      <c r="B123" s="11"/>
      <c r="C123" s="11"/>
      <c r="D123" s="11"/>
      <c r="E123" s="11"/>
    </row>
    <row r="124" spans="1:5" x14ac:dyDescent="0.25">
      <c r="A124" s="11"/>
      <c r="B124" s="11"/>
      <c r="C124" s="11"/>
      <c r="D124" s="11"/>
      <c r="E124" s="11"/>
    </row>
    <row r="125" spans="1:5" x14ac:dyDescent="0.25">
      <c r="A125" s="11"/>
      <c r="B125" s="11"/>
      <c r="C125" s="11"/>
      <c r="D125" s="11"/>
      <c r="E125" s="11"/>
    </row>
    <row r="126" spans="1:5" x14ac:dyDescent="0.25">
      <c r="A126" s="11"/>
      <c r="B126" s="11"/>
      <c r="C126" s="11"/>
      <c r="D126" s="11"/>
      <c r="E126" s="11"/>
    </row>
    <row r="127" spans="1:5" x14ac:dyDescent="0.25">
      <c r="A127" s="11"/>
      <c r="B127" s="11"/>
      <c r="C127" s="11"/>
      <c r="D127" s="11"/>
      <c r="E127" s="11"/>
    </row>
    <row r="128" spans="1:5" x14ac:dyDescent="0.25">
      <c r="A128" s="11"/>
      <c r="B128" s="11"/>
      <c r="C128" s="11"/>
      <c r="D128" s="11"/>
      <c r="E128" s="11"/>
    </row>
    <row r="129" spans="1:5" x14ac:dyDescent="0.25">
      <c r="A129" s="11"/>
      <c r="B129" s="11"/>
      <c r="C129" s="11"/>
      <c r="D129" s="11"/>
      <c r="E129" s="11"/>
    </row>
    <row r="130" spans="1:5" x14ac:dyDescent="0.25">
      <c r="A130" s="11"/>
      <c r="B130" s="11"/>
      <c r="C130" s="11"/>
      <c r="D130" s="11"/>
      <c r="E130" s="11"/>
    </row>
    <row r="131" spans="1:5" x14ac:dyDescent="0.25">
      <c r="A131" s="11"/>
      <c r="B131" s="11"/>
      <c r="C131" s="11"/>
      <c r="D131" s="11"/>
      <c r="E131" s="11"/>
    </row>
    <row r="132" spans="1:5" x14ac:dyDescent="0.25">
      <c r="A132" s="11"/>
      <c r="B132" s="11"/>
      <c r="C132" s="11"/>
      <c r="D132" s="11"/>
      <c r="E132" s="11"/>
    </row>
    <row r="133" spans="1:5" x14ac:dyDescent="0.25">
      <c r="A133" s="11"/>
      <c r="B133" s="11"/>
      <c r="C133" s="11"/>
      <c r="D133" s="11"/>
      <c r="E133" s="11"/>
    </row>
    <row r="134" spans="1:5" x14ac:dyDescent="0.25">
      <c r="A134" s="11"/>
      <c r="B134" s="11"/>
      <c r="C134" s="11"/>
      <c r="D134" s="11"/>
      <c r="E134" s="11"/>
    </row>
    <row r="135" spans="1:5" x14ac:dyDescent="0.25">
      <c r="A135" s="11"/>
      <c r="B135" s="11"/>
      <c r="C135" s="11"/>
      <c r="D135" s="11"/>
      <c r="E135" s="11"/>
    </row>
    <row r="136" spans="1:5" x14ac:dyDescent="0.25">
      <c r="A136" s="11"/>
      <c r="B136" s="11"/>
      <c r="C136" s="11"/>
      <c r="D136" s="11"/>
      <c r="E136" s="11"/>
    </row>
    <row r="137" spans="1:5" x14ac:dyDescent="0.25">
      <c r="A137" s="11"/>
      <c r="B137" s="11"/>
      <c r="C137" s="11"/>
      <c r="D137" s="11"/>
      <c r="E137" s="11"/>
    </row>
    <row r="138" spans="1:5" x14ac:dyDescent="0.25">
      <c r="A138" s="11"/>
      <c r="B138" s="11"/>
      <c r="C138" s="11"/>
      <c r="D138" s="11"/>
      <c r="E138" s="11"/>
    </row>
    <row r="139" spans="1:5" x14ac:dyDescent="0.25">
      <c r="A139" s="11"/>
      <c r="B139" s="11"/>
      <c r="C139" s="11"/>
      <c r="D139" s="11"/>
      <c r="E139" s="11"/>
    </row>
    <row r="140" spans="1:5" x14ac:dyDescent="0.25">
      <c r="A140" s="11"/>
      <c r="B140" s="11"/>
      <c r="C140" s="11"/>
      <c r="D140" s="11"/>
      <c r="E140" s="11"/>
    </row>
    <row r="141" spans="1:5" x14ac:dyDescent="0.25">
      <c r="A141" s="11"/>
      <c r="B141" s="11"/>
      <c r="C141" s="11"/>
      <c r="D141" s="11"/>
      <c r="E141" s="11"/>
    </row>
    <row r="142" spans="1:5" x14ac:dyDescent="0.25">
      <c r="A142" s="11"/>
      <c r="B142" s="11"/>
      <c r="C142" s="11"/>
      <c r="D142" s="11"/>
      <c r="E142" s="11"/>
    </row>
    <row r="143" spans="1:5" x14ac:dyDescent="0.25">
      <c r="A143" s="11"/>
      <c r="B143" s="11"/>
      <c r="C143" s="11"/>
      <c r="D143" s="11"/>
      <c r="E143" s="11"/>
    </row>
    <row r="144" spans="1:5" x14ac:dyDescent="0.25">
      <c r="A144" s="11"/>
      <c r="B144" s="11"/>
      <c r="C144" s="11"/>
      <c r="D144" s="11"/>
      <c r="E144" s="11"/>
    </row>
    <row r="145" spans="1:5" x14ac:dyDescent="0.25">
      <c r="A145" s="11"/>
      <c r="B145" s="11"/>
      <c r="C145" s="11"/>
      <c r="D145" s="11"/>
      <c r="E145" s="11"/>
    </row>
    <row r="146" spans="1:5" x14ac:dyDescent="0.25">
      <c r="A146" s="11"/>
      <c r="B146" s="11"/>
      <c r="C146" s="11"/>
      <c r="D146" s="11"/>
      <c r="E146" s="11"/>
    </row>
    <row r="147" spans="1:5" x14ac:dyDescent="0.25">
      <c r="A147" s="11"/>
      <c r="B147" s="11"/>
      <c r="C147" s="11"/>
      <c r="D147" s="11"/>
      <c r="E147" s="11"/>
    </row>
    <row r="148" spans="1:5" x14ac:dyDescent="0.25">
      <c r="A148" s="11"/>
      <c r="B148" s="11"/>
      <c r="C148" s="11"/>
      <c r="D148" s="11"/>
      <c r="E148" s="11"/>
    </row>
    <row r="149" spans="1:5" x14ac:dyDescent="0.25">
      <c r="A149" s="11"/>
      <c r="B149" s="11"/>
      <c r="C149" s="11"/>
      <c r="D149" s="11"/>
      <c r="E149" s="11"/>
    </row>
    <row r="150" spans="1:5" x14ac:dyDescent="0.25">
      <c r="A150" s="11"/>
      <c r="B150" s="11"/>
      <c r="C150" s="11"/>
      <c r="D150" s="11"/>
      <c r="E150" s="11"/>
    </row>
    <row r="151" spans="1:5" x14ac:dyDescent="0.25">
      <c r="A151" s="11"/>
      <c r="B151" s="11"/>
      <c r="C151" s="11"/>
      <c r="D151" s="11"/>
      <c r="E151" s="11"/>
    </row>
    <row r="152" spans="1:5" x14ac:dyDescent="0.25">
      <c r="A152" s="11"/>
      <c r="B152" s="11"/>
      <c r="C152" s="11"/>
      <c r="D152" s="11"/>
      <c r="E152" s="11"/>
    </row>
    <row r="153" spans="1:5" x14ac:dyDescent="0.25">
      <c r="A153" s="11"/>
      <c r="B153" s="11"/>
      <c r="C153" s="11"/>
      <c r="D153" s="11"/>
      <c r="E153" s="11"/>
    </row>
    <row r="154" spans="1:5" x14ac:dyDescent="0.25">
      <c r="A154" s="11"/>
      <c r="B154" s="11"/>
      <c r="C154" s="11"/>
      <c r="D154" s="11"/>
      <c r="E154" s="11"/>
    </row>
    <row r="155" spans="1:5" x14ac:dyDescent="0.25">
      <c r="A155" s="11"/>
      <c r="B155" s="11"/>
      <c r="C155" s="11"/>
      <c r="D155" s="11"/>
      <c r="E155" s="11"/>
    </row>
    <row r="156" spans="1:5" x14ac:dyDescent="0.25">
      <c r="A156" s="11"/>
      <c r="B156" s="11"/>
      <c r="C156" s="11"/>
      <c r="D156" s="11"/>
      <c r="E156" s="11"/>
    </row>
    <row r="157" spans="1:5" x14ac:dyDescent="0.25">
      <c r="A157" s="11"/>
      <c r="B157" s="11"/>
      <c r="C157" s="11"/>
      <c r="D157" s="11"/>
      <c r="E157" s="11"/>
    </row>
    <row r="158" spans="1:5" x14ac:dyDescent="0.25">
      <c r="A158" s="11"/>
      <c r="B158" s="11"/>
      <c r="C158" s="11"/>
      <c r="D158" s="11"/>
      <c r="E158" s="11"/>
    </row>
    <row r="159" spans="1:5" x14ac:dyDescent="0.25">
      <c r="A159" s="11"/>
      <c r="B159" s="11"/>
      <c r="C159" s="11"/>
      <c r="D159" s="11"/>
      <c r="E159" s="11"/>
    </row>
    <row r="160" spans="1:5" x14ac:dyDescent="0.25">
      <c r="A160" s="11"/>
      <c r="B160" s="11"/>
      <c r="C160" s="11"/>
      <c r="D160" s="11"/>
      <c r="E160" s="11"/>
    </row>
    <row r="161" spans="1:5" x14ac:dyDescent="0.25">
      <c r="A161" s="11"/>
      <c r="B161" s="11"/>
      <c r="C161" s="11"/>
      <c r="D161" s="11"/>
      <c r="E161" s="11"/>
    </row>
    <row r="162" spans="1:5" x14ac:dyDescent="0.25">
      <c r="A162" s="11"/>
      <c r="B162" s="11"/>
      <c r="C162" s="11"/>
      <c r="D162" s="11"/>
      <c r="E162" s="11"/>
    </row>
    <row r="163" spans="1:5" x14ac:dyDescent="0.25">
      <c r="A163" s="11"/>
      <c r="B163" s="11"/>
      <c r="C163" s="11"/>
      <c r="D163" s="11"/>
      <c r="E163" s="11"/>
    </row>
    <row r="164" spans="1:5" x14ac:dyDescent="0.25">
      <c r="A164" s="11"/>
      <c r="B164" s="11"/>
      <c r="C164" s="11"/>
      <c r="D164" s="11"/>
      <c r="E164" s="11"/>
    </row>
    <row r="165" spans="1:5" x14ac:dyDescent="0.25">
      <c r="A165" s="11"/>
      <c r="B165" s="11"/>
      <c r="C165" s="11"/>
      <c r="D165" s="11"/>
      <c r="E165" s="11"/>
    </row>
    <row r="166" spans="1:5" x14ac:dyDescent="0.25">
      <c r="A166" s="11"/>
      <c r="B166" s="11"/>
      <c r="C166" s="11"/>
      <c r="D166" s="11"/>
      <c r="E166" s="11"/>
    </row>
    <row r="167" spans="1:5" x14ac:dyDescent="0.25">
      <c r="A167" s="11"/>
      <c r="B167" s="11"/>
      <c r="C167" s="11"/>
      <c r="D167" s="11"/>
      <c r="E167" s="11"/>
    </row>
    <row r="168" spans="1:5" x14ac:dyDescent="0.25">
      <c r="A168" s="11"/>
      <c r="B168" s="11"/>
      <c r="C168" s="11"/>
      <c r="D168" s="11"/>
      <c r="E168" s="11"/>
    </row>
    <row r="169" spans="1:5" x14ac:dyDescent="0.25">
      <c r="A169" s="11"/>
      <c r="B169" s="11"/>
      <c r="C169" s="11"/>
      <c r="D169" s="11"/>
      <c r="E169" s="11"/>
    </row>
    <row r="170" spans="1:5" x14ac:dyDescent="0.25">
      <c r="A170" s="11"/>
      <c r="B170" s="11"/>
      <c r="C170" s="11"/>
      <c r="D170" s="11"/>
      <c r="E170" s="11"/>
    </row>
    <row r="171" spans="1:5" x14ac:dyDescent="0.25">
      <c r="A171" s="11"/>
      <c r="B171" s="11"/>
      <c r="C171" s="11"/>
      <c r="D171" s="11"/>
      <c r="E171" s="11"/>
    </row>
    <row r="172" spans="1:5" x14ac:dyDescent="0.25">
      <c r="A172" s="11"/>
      <c r="B172" s="11"/>
      <c r="C172" s="11"/>
      <c r="D172" s="11"/>
      <c r="E172" s="11"/>
    </row>
    <row r="173" spans="1:5" x14ac:dyDescent="0.25">
      <c r="A173" s="11"/>
      <c r="B173" s="11"/>
      <c r="C173" s="11"/>
      <c r="D173" s="11"/>
      <c r="E173" s="11"/>
    </row>
    <row r="174" spans="1:5" x14ac:dyDescent="0.25">
      <c r="A174" s="11"/>
      <c r="B174" s="11"/>
      <c r="C174" s="11"/>
      <c r="D174" s="11"/>
      <c r="E174" s="11"/>
    </row>
    <row r="175" spans="1:5" x14ac:dyDescent="0.25">
      <c r="A175" s="11"/>
      <c r="B175" s="11"/>
      <c r="C175" s="11"/>
      <c r="D175" s="11"/>
      <c r="E175" s="11"/>
    </row>
    <row r="176" spans="1:5" x14ac:dyDescent="0.25">
      <c r="A176" s="11"/>
      <c r="B176" s="11"/>
      <c r="C176" s="11"/>
      <c r="D176" s="11"/>
      <c r="E176" s="11"/>
    </row>
    <row r="177" spans="1:5" x14ac:dyDescent="0.25">
      <c r="A177" s="11"/>
      <c r="B177" s="11"/>
      <c r="C177" s="11"/>
      <c r="D177" s="11"/>
      <c r="E177" s="11"/>
    </row>
    <row r="178" spans="1:5" x14ac:dyDescent="0.25">
      <c r="A178" s="11"/>
      <c r="B178" s="11"/>
      <c r="C178" s="11"/>
      <c r="D178" s="11"/>
      <c r="E178" s="11"/>
    </row>
    <row r="179" spans="1:5" x14ac:dyDescent="0.25">
      <c r="A179" s="11"/>
      <c r="B179" s="11"/>
      <c r="C179" s="11"/>
      <c r="D179" s="11"/>
      <c r="E179" s="11"/>
    </row>
    <row r="180" spans="1:5" x14ac:dyDescent="0.25">
      <c r="A180" s="11"/>
      <c r="B180" s="11"/>
      <c r="C180" s="11"/>
      <c r="D180" s="11"/>
      <c r="E180" s="11"/>
    </row>
    <row r="181" spans="1:5" x14ac:dyDescent="0.25">
      <c r="A181" s="11"/>
      <c r="B181" s="11"/>
      <c r="C181" s="11"/>
      <c r="D181" s="11"/>
      <c r="E181" s="11"/>
    </row>
    <row r="182" spans="1:5" x14ac:dyDescent="0.25">
      <c r="A182" s="11"/>
      <c r="B182" s="11"/>
      <c r="C182" s="11"/>
      <c r="D182" s="11"/>
      <c r="E182" s="11"/>
    </row>
    <row r="183" spans="1:5" x14ac:dyDescent="0.25">
      <c r="A183" s="11"/>
      <c r="B183" s="11"/>
      <c r="C183" s="11"/>
      <c r="D183" s="11"/>
      <c r="E183" s="11"/>
    </row>
    <row r="184" spans="1:5" x14ac:dyDescent="0.25">
      <c r="A184" s="11"/>
      <c r="B184" s="11"/>
      <c r="C184" s="11"/>
      <c r="D184" s="11"/>
      <c r="E184" s="11"/>
    </row>
    <row r="185" spans="1:5" x14ac:dyDescent="0.25">
      <c r="A185" s="11"/>
      <c r="B185" s="11"/>
      <c r="C185" s="11"/>
      <c r="D185" s="11"/>
      <c r="E185" s="11"/>
    </row>
    <row r="186" spans="1:5" x14ac:dyDescent="0.25">
      <c r="A186" s="11"/>
      <c r="B186" s="11"/>
      <c r="C186" s="11"/>
      <c r="D186" s="11"/>
      <c r="E186" s="11"/>
    </row>
    <row r="187" spans="1:5" x14ac:dyDescent="0.25">
      <c r="A187" s="11"/>
      <c r="B187" s="11"/>
      <c r="C187" s="11"/>
      <c r="D187" s="11"/>
      <c r="E187" s="11"/>
    </row>
    <row r="188" spans="1:5" x14ac:dyDescent="0.25">
      <c r="A188" s="11"/>
      <c r="B188" s="11"/>
      <c r="C188" s="11"/>
      <c r="D188" s="11"/>
      <c r="E188" s="11"/>
    </row>
    <row r="189" spans="1:5" x14ac:dyDescent="0.25">
      <c r="A189" s="11"/>
      <c r="B189" s="11"/>
      <c r="C189" s="11"/>
      <c r="D189" s="11"/>
      <c r="E189" s="11"/>
    </row>
    <row r="190" spans="1:5" x14ac:dyDescent="0.25">
      <c r="A190" s="11"/>
      <c r="B190" s="11"/>
      <c r="C190" s="11"/>
      <c r="D190" s="11"/>
      <c r="E190" s="11"/>
    </row>
    <row r="191" spans="1:5" x14ac:dyDescent="0.25">
      <c r="A191" s="11"/>
      <c r="B191" s="11"/>
      <c r="C191" s="11"/>
      <c r="D191" s="11"/>
      <c r="E191" s="11"/>
    </row>
    <row r="192" spans="1:5" x14ac:dyDescent="0.25">
      <c r="A192" s="11"/>
      <c r="B192" s="11"/>
      <c r="C192" s="11"/>
      <c r="D192" s="11"/>
      <c r="E192" s="11"/>
    </row>
    <row r="193" spans="1:5" x14ac:dyDescent="0.25">
      <c r="A193" s="11"/>
      <c r="B193" s="11"/>
      <c r="C193" s="11"/>
      <c r="D193" s="11"/>
      <c r="E193" s="11"/>
    </row>
    <row r="194" spans="1:5" x14ac:dyDescent="0.25">
      <c r="A194" s="11"/>
      <c r="B194" s="11"/>
      <c r="C194" s="11"/>
      <c r="D194" s="11"/>
      <c r="E194" s="11"/>
    </row>
    <row r="195" spans="1:5" x14ac:dyDescent="0.25">
      <c r="A195" s="11"/>
      <c r="B195" s="11"/>
      <c r="C195" s="11"/>
      <c r="D195" s="11"/>
      <c r="E195" s="11"/>
    </row>
    <row r="196" spans="1:5" x14ac:dyDescent="0.25">
      <c r="A196" s="11"/>
      <c r="B196" s="11"/>
      <c r="C196" s="11"/>
      <c r="D196" s="11"/>
      <c r="E196" s="11"/>
    </row>
    <row r="197" spans="1:5" x14ac:dyDescent="0.25">
      <c r="A197" s="11"/>
      <c r="B197" s="11"/>
      <c r="C197" s="11"/>
      <c r="D197" s="11"/>
      <c r="E197" s="11"/>
    </row>
    <row r="198" spans="1:5" x14ac:dyDescent="0.25">
      <c r="A198" s="11"/>
      <c r="B198" s="11"/>
      <c r="C198" s="11"/>
      <c r="D198" s="11"/>
      <c r="E198" s="11"/>
    </row>
    <row r="199" spans="1:5" x14ac:dyDescent="0.25">
      <c r="A199" s="11"/>
      <c r="B199" s="11"/>
      <c r="C199" s="11"/>
      <c r="D199" s="11"/>
      <c r="E199" s="11"/>
    </row>
    <row r="200" spans="1:5" x14ac:dyDescent="0.25">
      <c r="A200" s="11"/>
      <c r="B200" s="11"/>
      <c r="C200" s="11"/>
      <c r="D200" s="11"/>
      <c r="E200" s="11"/>
    </row>
    <row r="201" spans="1:5" x14ac:dyDescent="0.25">
      <c r="A201" s="11"/>
      <c r="B201" s="11"/>
      <c r="C201" s="11"/>
      <c r="D201" s="11"/>
      <c r="E201" s="11"/>
    </row>
    <row r="202" spans="1:5" x14ac:dyDescent="0.25">
      <c r="A202" s="11"/>
      <c r="B202" s="11"/>
      <c r="C202" s="11"/>
      <c r="D202" s="11"/>
      <c r="E202" s="11"/>
    </row>
    <row r="203" spans="1:5" x14ac:dyDescent="0.25">
      <c r="A203" s="11"/>
      <c r="B203" s="11"/>
      <c r="C203" s="11"/>
      <c r="D203" s="11"/>
      <c r="E203" s="11"/>
    </row>
    <row r="204" spans="1:5" x14ac:dyDescent="0.25">
      <c r="A204" s="11"/>
      <c r="B204" s="11"/>
      <c r="C204" s="11"/>
      <c r="D204" s="11"/>
      <c r="E204" s="11"/>
    </row>
    <row r="205" spans="1:5" x14ac:dyDescent="0.25">
      <c r="A205" s="11"/>
      <c r="B205" s="11"/>
      <c r="C205" s="11"/>
      <c r="D205" s="11"/>
      <c r="E205" s="11"/>
    </row>
    <row r="206" spans="1:5" x14ac:dyDescent="0.25">
      <c r="A206" s="11"/>
      <c r="B206" s="11"/>
      <c r="C206" s="11"/>
      <c r="D206" s="11"/>
      <c r="E206" s="11"/>
    </row>
    <row r="207" spans="1:5" x14ac:dyDescent="0.25">
      <c r="A207" s="11"/>
      <c r="B207" s="11"/>
      <c r="C207" s="11"/>
      <c r="D207" s="11"/>
      <c r="E207" s="11"/>
    </row>
    <row r="208" spans="1:5" x14ac:dyDescent="0.25">
      <c r="A208" s="11"/>
      <c r="B208" s="11"/>
      <c r="C208" s="11"/>
      <c r="D208" s="11"/>
      <c r="E208" s="11"/>
    </row>
    <row r="209" spans="1:5" x14ac:dyDescent="0.25">
      <c r="A209" s="11"/>
      <c r="B209" s="11"/>
      <c r="C209" s="11"/>
      <c r="D209" s="11"/>
      <c r="E209" s="11"/>
    </row>
    <row r="210" spans="1:5" x14ac:dyDescent="0.25">
      <c r="A210" s="11"/>
      <c r="B210" s="11"/>
      <c r="C210" s="11"/>
      <c r="D210" s="11"/>
      <c r="E210" s="11"/>
    </row>
    <row r="211" spans="1:5" x14ac:dyDescent="0.25">
      <c r="A211" s="11"/>
      <c r="B211" s="11"/>
      <c r="C211" s="11"/>
      <c r="D211" s="11"/>
      <c r="E211" s="11"/>
    </row>
    <row r="212" spans="1:5" x14ac:dyDescent="0.25">
      <c r="A212" s="11"/>
      <c r="B212" s="11"/>
      <c r="C212" s="11"/>
      <c r="D212" s="11"/>
      <c r="E212" s="11"/>
    </row>
    <row r="213" spans="1:5" x14ac:dyDescent="0.25">
      <c r="A213" s="11"/>
      <c r="B213" s="11"/>
      <c r="C213" s="11"/>
      <c r="D213" s="11"/>
      <c r="E213" s="11"/>
    </row>
    <row r="214" spans="1:5" x14ac:dyDescent="0.25">
      <c r="A214" s="11"/>
      <c r="B214" s="11"/>
      <c r="C214" s="11"/>
      <c r="D214" s="11"/>
      <c r="E214" s="11"/>
    </row>
    <row r="215" spans="1:5" x14ac:dyDescent="0.25">
      <c r="A215" s="11"/>
      <c r="B215" s="11"/>
      <c r="C215" s="11"/>
      <c r="D215" s="11"/>
      <c r="E215" s="11"/>
    </row>
    <row r="216" spans="1:5" x14ac:dyDescent="0.25">
      <c r="A216" s="11"/>
      <c r="B216" s="11"/>
      <c r="C216" s="11"/>
      <c r="D216" s="11"/>
      <c r="E216" s="11"/>
    </row>
    <row r="217" spans="1:5" x14ac:dyDescent="0.25">
      <c r="A217" s="11"/>
      <c r="B217" s="11"/>
      <c r="C217" s="11"/>
      <c r="D217" s="11"/>
      <c r="E217" s="11"/>
    </row>
    <row r="218" spans="1:5" x14ac:dyDescent="0.25">
      <c r="A218" s="11"/>
      <c r="B218" s="11"/>
      <c r="C218" s="11"/>
      <c r="D218" s="11"/>
      <c r="E218" s="11"/>
    </row>
    <row r="219" spans="1:5" x14ac:dyDescent="0.25">
      <c r="A219" s="11"/>
      <c r="B219" s="11"/>
      <c r="C219" s="11"/>
      <c r="D219" s="11"/>
      <c r="E219" s="11"/>
    </row>
    <row r="220" spans="1:5" x14ac:dyDescent="0.25">
      <c r="A220" s="11"/>
      <c r="B220" s="11"/>
      <c r="C220" s="11"/>
      <c r="D220" s="11"/>
      <c r="E220" s="11"/>
    </row>
    <row r="221" spans="1:5" x14ac:dyDescent="0.25">
      <c r="A221" s="11"/>
      <c r="B221" s="11"/>
      <c r="C221" s="11"/>
      <c r="D221" s="11"/>
      <c r="E221" s="11"/>
    </row>
    <row r="222" spans="1:5" x14ac:dyDescent="0.25">
      <c r="A222" s="11"/>
      <c r="B222" s="11"/>
      <c r="C222" s="11"/>
      <c r="D222" s="11"/>
      <c r="E222" s="11"/>
    </row>
    <row r="223" spans="1:5" x14ac:dyDescent="0.25">
      <c r="A223" s="11"/>
      <c r="B223" s="11"/>
      <c r="C223" s="11"/>
      <c r="D223" s="11"/>
      <c r="E223" s="11"/>
    </row>
    <row r="224" spans="1:5" x14ac:dyDescent="0.25">
      <c r="A224" s="11"/>
      <c r="B224" s="11"/>
      <c r="C224" s="11"/>
      <c r="D224" s="11"/>
      <c r="E224" s="11"/>
    </row>
    <row r="225" spans="1:5" x14ac:dyDescent="0.25">
      <c r="A225" s="11"/>
      <c r="B225" s="11"/>
      <c r="C225" s="11"/>
      <c r="D225" s="11"/>
      <c r="E225" s="11"/>
    </row>
    <row r="226" spans="1:5" x14ac:dyDescent="0.25">
      <c r="A226" s="11"/>
      <c r="B226" s="11"/>
      <c r="C226" s="11"/>
      <c r="D226" s="11"/>
      <c r="E226" s="11"/>
    </row>
    <row r="227" spans="1:5" x14ac:dyDescent="0.25">
      <c r="A227" s="11"/>
      <c r="B227" s="11"/>
      <c r="C227" s="11"/>
      <c r="D227" s="11"/>
      <c r="E227" s="11"/>
    </row>
    <row r="228" spans="1:5" x14ac:dyDescent="0.25">
      <c r="A228" s="11"/>
      <c r="B228" s="11"/>
      <c r="C228" s="11"/>
      <c r="D228" s="11"/>
      <c r="E228" s="11"/>
    </row>
    <row r="229" spans="1:5" x14ac:dyDescent="0.25">
      <c r="A229" s="11"/>
      <c r="B229" s="11"/>
      <c r="C229" s="11"/>
      <c r="D229" s="11"/>
      <c r="E229" s="11"/>
    </row>
    <row r="230" spans="1:5" x14ac:dyDescent="0.25">
      <c r="A230" s="11"/>
      <c r="B230" s="11"/>
      <c r="C230" s="11"/>
      <c r="D230" s="11"/>
      <c r="E230" s="11"/>
    </row>
    <row r="231" spans="1:5" x14ac:dyDescent="0.25">
      <c r="A231" s="11"/>
      <c r="B231" s="11"/>
      <c r="C231" s="11"/>
      <c r="D231" s="11"/>
      <c r="E231" s="11"/>
    </row>
    <row r="232" spans="1:5" x14ac:dyDescent="0.25">
      <c r="A232" s="11"/>
      <c r="B232" s="11"/>
      <c r="C232" s="11"/>
      <c r="D232" s="11"/>
      <c r="E232" s="11"/>
    </row>
    <row r="233" spans="1:5" x14ac:dyDescent="0.25">
      <c r="A233" s="11"/>
      <c r="B233" s="11"/>
      <c r="C233" s="11"/>
      <c r="D233" s="11"/>
      <c r="E233" s="11"/>
    </row>
    <row r="234" spans="1:5" x14ac:dyDescent="0.25">
      <c r="A234" s="11"/>
      <c r="B234" s="11"/>
      <c r="C234" s="11"/>
      <c r="D234" s="11"/>
      <c r="E234" s="11"/>
    </row>
    <row r="235" spans="1:5" x14ac:dyDescent="0.25">
      <c r="A235" s="11"/>
      <c r="B235" s="11"/>
      <c r="C235" s="11"/>
      <c r="D235" s="11"/>
      <c r="E235" s="11"/>
    </row>
    <row r="236" spans="1:5" x14ac:dyDescent="0.25">
      <c r="A236" s="11"/>
      <c r="B236" s="11"/>
      <c r="C236" s="11"/>
      <c r="D236" s="11"/>
      <c r="E236" s="11"/>
    </row>
    <row r="237" spans="1:5" x14ac:dyDescent="0.25">
      <c r="A237" s="11"/>
      <c r="B237" s="11"/>
      <c r="C237" s="11"/>
      <c r="D237" s="11"/>
      <c r="E237" s="11"/>
    </row>
    <row r="238" spans="1:5" x14ac:dyDescent="0.25">
      <c r="A238" s="11"/>
      <c r="B238" s="11"/>
      <c r="C238" s="11"/>
      <c r="D238" s="11"/>
      <c r="E238" s="11"/>
    </row>
    <row r="239" spans="1:5" x14ac:dyDescent="0.25">
      <c r="A239" s="11"/>
      <c r="B239" s="11"/>
      <c r="C239" s="11"/>
      <c r="D239" s="11"/>
      <c r="E239" s="11"/>
    </row>
    <row r="240" spans="1:5" x14ac:dyDescent="0.25">
      <c r="A240" s="11"/>
      <c r="B240" s="11"/>
      <c r="C240" s="11"/>
      <c r="D240" s="11"/>
      <c r="E240" s="11"/>
    </row>
    <row r="241" spans="1:5" x14ac:dyDescent="0.25">
      <c r="A241" s="11"/>
      <c r="B241" s="11"/>
      <c r="C241" s="11"/>
      <c r="D241" s="11"/>
      <c r="E241" s="11"/>
    </row>
    <row r="242" spans="1:5" x14ac:dyDescent="0.25">
      <c r="A242" s="11"/>
      <c r="B242" s="11"/>
      <c r="C242" s="11"/>
      <c r="D242" s="11"/>
      <c r="E242" s="11"/>
    </row>
    <row r="243" spans="1:5" x14ac:dyDescent="0.25">
      <c r="A243" s="11"/>
      <c r="B243" s="11"/>
      <c r="C243" s="11"/>
      <c r="D243" s="11"/>
      <c r="E243" s="11"/>
    </row>
    <row r="244" spans="1:5" x14ac:dyDescent="0.25">
      <c r="A244" s="11"/>
      <c r="B244" s="11"/>
      <c r="C244" s="11"/>
      <c r="D244" s="11"/>
      <c r="E244" s="11"/>
    </row>
    <row r="245" spans="1:5" x14ac:dyDescent="0.25">
      <c r="A245" s="11"/>
      <c r="B245" s="11"/>
      <c r="C245" s="11"/>
      <c r="D245" s="11"/>
      <c r="E245" s="11"/>
    </row>
    <row r="246" spans="1:5" x14ac:dyDescent="0.25">
      <c r="A246" s="11"/>
      <c r="B246" s="11"/>
      <c r="C246" s="11"/>
      <c r="D246" s="11"/>
      <c r="E246" s="11"/>
    </row>
    <row r="247" spans="1:5" x14ac:dyDescent="0.25">
      <c r="A247" s="11"/>
      <c r="B247" s="11"/>
      <c r="C247" s="11"/>
      <c r="D247" s="11"/>
      <c r="E247" s="11"/>
    </row>
    <row r="248" spans="1:5" x14ac:dyDescent="0.25">
      <c r="A248" s="11"/>
      <c r="B248" s="11"/>
      <c r="C248" s="11"/>
      <c r="D248" s="11"/>
      <c r="E248" s="11"/>
    </row>
    <row r="249" spans="1:5" x14ac:dyDescent="0.25">
      <c r="A249" s="11"/>
      <c r="B249" s="11"/>
      <c r="C249" s="11"/>
      <c r="D249" s="11"/>
      <c r="E249" s="11"/>
    </row>
    <row r="250" spans="1:5" x14ac:dyDescent="0.25">
      <c r="A250" s="11"/>
      <c r="B250" s="11"/>
      <c r="C250" s="11"/>
      <c r="D250" s="11"/>
      <c r="E250" s="11"/>
    </row>
    <row r="251" spans="1:5" x14ac:dyDescent="0.25">
      <c r="A251" s="11"/>
      <c r="B251" s="11"/>
      <c r="C251" s="11"/>
      <c r="D251" s="11"/>
      <c r="E251" s="11"/>
    </row>
    <row r="252" spans="1:5" x14ac:dyDescent="0.25">
      <c r="A252" s="11"/>
      <c r="B252" s="11"/>
      <c r="C252" s="11"/>
      <c r="D252" s="11"/>
      <c r="E252" s="11"/>
    </row>
    <row r="253" spans="1:5" x14ac:dyDescent="0.25">
      <c r="A253" s="11"/>
      <c r="B253" s="11"/>
      <c r="C253" s="11"/>
      <c r="D253" s="11"/>
      <c r="E253" s="11"/>
    </row>
    <row r="254" spans="1:5" x14ac:dyDescent="0.25">
      <c r="A254" s="11"/>
      <c r="B254" s="11"/>
      <c r="C254" s="11"/>
      <c r="D254" s="11"/>
      <c r="E254" s="11"/>
    </row>
    <row r="255" spans="1:5" x14ac:dyDescent="0.25">
      <c r="A255" s="11"/>
      <c r="B255" s="11"/>
      <c r="C255" s="11"/>
      <c r="D255" s="11"/>
      <c r="E255" s="11"/>
    </row>
    <row r="256" spans="1:5" x14ac:dyDescent="0.25">
      <c r="A256" s="11"/>
      <c r="B256" s="11"/>
      <c r="C256" s="11"/>
      <c r="D256" s="11"/>
      <c r="E256" s="11"/>
    </row>
    <row r="257" spans="1:5" x14ac:dyDescent="0.25">
      <c r="A257" s="11"/>
      <c r="B257" s="11"/>
      <c r="C257" s="11"/>
      <c r="D257" s="11"/>
      <c r="E257" s="11"/>
    </row>
    <row r="258" spans="1:5" x14ac:dyDescent="0.25">
      <c r="A258" s="11"/>
      <c r="B258" s="11"/>
      <c r="C258" s="11"/>
      <c r="D258" s="11"/>
      <c r="E258" s="11"/>
    </row>
    <row r="259" spans="1:5" x14ac:dyDescent="0.25">
      <c r="A259" s="11"/>
      <c r="B259" s="11"/>
      <c r="C259" s="11"/>
      <c r="D259" s="11"/>
      <c r="E259" s="11"/>
    </row>
    <row r="260" spans="1:5" x14ac:dyDescent="0.25">
      <c r="A260" s="11"/>
      <c r="B260" s="11"/>
      <c r="C260" s="11"/>
      <c r="D260" s="11"/>
      <c r="E260" s="11"/>
    </row>
    <row r="261" spans="1:5" x14ac:dyDescent="0.25">
      <c r="A261" s="11"/>
      <c r="B261" s="11"/>
      <c r="C261" s="11"/>
      <c r="D261" s="11"/>
      <c r="E261" s="11"/>
    </row>
    <row r="262" spans="1:5" x14ac:dyDescent="0.25">
      <c r="A262" s="11"/>
      <c r="B262" s="11"/>
      <c r="C262" s="11"/>
      <c r="D262" s="11"/>
      <c r="E262" s="11"/>
    </row>
    <row r="263" spans="1:5" x14ac:dyDescent="0.25">
      <c r="A263" s="11"/>
      <c r="B263" s="11"/>
      <c r="C263" s="11"/>
      <c r="D263" s="11"/>
      <c r="E263" s="11"/>
    </row>
    <row r="264" spans="1:5" x14ac:dyDescent="0.25">
      <c r="A264" s="11"/>
      <c r="B264" s="11"/>
      <c r="C264" s="11"/>
      <c r="D264" s="11"/>
      <c r="E264" s="11"/>
    </row>
    <row r="265" spans="1:5" x14ac:dyDescent="0.25">
      <c r="A265" s="11"/>
      <c r="B265" s="11"/>
      <c r="C265" s="11"/>
      <c r="D265" s="11"/>
      <c r="E265" s="11"/>
    </row>
    <row r="266" spans="1:5" x14ac:dyDescent="0.25">
      <c r="A266" s="11"/>
      <c r="B266" s="11"/>
      <c r="C266" s="11"/>
      <c r="D266" s="11"/>
      <c r="E266" s="11"/>
    </row>
    <row r="267" spans="1:5" x14ac:dyDescent="0.25">
      <c r="A267" s="11"/>
      <c r="B267" s="11"/>
      <c r="C267" s="11"/>
      <c r="D267" s="11"/>
      <c r="E267" s="11"/>
    </row>
    <row r="268" spans="1:5" x14ac:dyDescent="0.25">
      <c r="A268" s="11"/>
      <c r="B268" s="11"/>
      <c r="C268" s="11"/>
      <c r="D268" s="11"/>
      <c r="E268" s="11"/>
    </row>
    <row r="269" spans="1:5" x14ac:dyDescent="0.25">
      <c r="A269" s="11"/>
      <c r="B269" s="11"/>
      <c r="C269" s="11"/>
      <c r="D269" s="11"/>
      <c r="E269" s="11"/>
    </row>
    <row r="270" spans="1:5" x14ac:dyDescent="0.25">
      <c r="A270" s="11"/>
      <c r="B270" s="11"/>
      <c r="C270" s="11"/>
      <c r="D270" s="11"/>
      <c r="E270" s="11"/>
    </row>
    <row r="271" spans="1:5" x14ac:dyDescent="0.25">
      <c r="A271" s="11"/>
      <c r="B271" s="11"/>
      <c r="C271" s="11"/>
      <c r="D271" s="11"/>
      <c r="E271" s="11"/>
    </row>
    <row r="272" spans="1:5" x14ac:dyDescent="0.25">
      <c r="A272" s="11"/>
      <c r="B272" s="11"/>
      <c r="C272" s="11"/>
      <c r="D272" s="11"/>
      <c r="E272" s="11"/>
    </row>
    <row r="273" spans="1:5" x14ac:dyDescent="0.25">
      <c r="A273" s="11"/>
      <c r="B273" s="11"/>
      <c r="C273" s="11"/>
      <c r="D273" s="11"/>
      <c r="E273" s="11"/>
    </row>
    <row r="274" spans="1:5" x14ac:dyDescent="0.25">
      <c r="A274" s="11"/>
      <c r="B274" s="11"/>
      <c r="C274" s="11"/>
      <c r="D274" s="11"/>
      <c r="E274" s="11"/>
    </row>
    <row r="275" spans="1:5" x14ac:dyDescent="0.25">
      <c r="A275" s="11"/>
      <c r="B275" s="11"/>
      <c r="C275" s="11"/>
      <c r="D275" s="11"/>
      <c r="E275" s="11"/>
    </row>
    <row r="276" spans="1:5" x14ac:dyDescent="0.25">
      <c r="A276" s="11"/>
      <c r="B276" s="11"/>
      <c r="C276" s="11"/>
      <c r="D276" s="11"/>
      <c r="E276" s="11"/>
    </row>
    <row r="277" spans="1:5" x14ac:dyDescent="0.25">
      <c r="A277" s="11"/>
      <c r="B277" s="11"/>
      <c r="C277" s="11"/>
      <c r="D277" s="11"/>
      <c r="E277" s="11"/>
    </row>
    <row r="278" spans="1:5" x14ac:dyDescent="0.25">
      <c r="A278" s="11"/>
      <c r="B278" s="11"/>
      <c r="C278" s="11"/>
      <c r="D278" s="11"/>
      <c r="E278" s="11"/>
    </row>
    <row r="279" spans="1:5" x14ac:dyDescent="0.25">
      <c r="A279" s="11"/>
      <c r="B279" s="11"/>
      <c r="C279" s="11"/>
      <c r="D279" s="11"/>
      <c r="E279" s="11"/>
    </row>
    <row r="280" spans="1:5" x14ac:dyDescent="0.25">
      <c r="A280" s="11"/>
      <c r="B280" s="11"/>
      <c r="C280" s="11"/>
      <c r="D280" s="11"/>
      <c r="E280" s="11"/>
    </row>
    <row r="281" spans="1:5" x14ac:dyDescent="0.25">
      <c r="A281" s="11"/>
      <c r="B281" s="11"/>
      <c r="C281" s="11"/>
      <c r="D281" s="11"/>
      <c r="E281" s="11"/>
    </row>
    <row r="282" spans="1:5" x14ac:dyDescent="0.25">
      <c r="A282" s="11"/>
      <c r="B282" s="11"/>
      <c r="C282" s="11"/>
      <c r="D282" s="11"/>
      <c r="E282" s="1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21">
          <controlPr defaultSize="0" autoLine="0" r:id="rId4">
            <anchor moveWithCells="1">
              <from>
                <xdr:col>5</xdr:col>
                <xdr:colOff>285750</xdr:colOff>
                <xdr:row>56</xdr:row>
                <xdr:rowOff>0</xdr:rowOff>
              </from>
              <to>
                <xdr:col>10</xdr:col>
                <xdr:colOff>342900</xdr:colOff>
                <xdr:row>58</xdr:row>
                <xdr:rowOff>123825</xdr:rowOff>
              </to>
            </anchor>
          </controlPr>
        </control>
      </mc:Choice>
      <mc:Fallback>
        <control shapeId="8193" r:id="rId3" name="CommandButton2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"/>
  <sheetViews>
    <sheetView workbookViewId="0">
      <selection activeCell="A4" sqref="A4"/>
    </sheetView>
  </sheetViews>
  <sheetFormatPr defaultRowHeight="15" x14ac:dyDescent="0.25"/>
  <cols>
    <col min="1" max="1" width="16.85546875" bestFit="1" customWidth="1"/>
    <col min="2" max="2" width="13.28515625" bestFit="1" customWidth="1"/>
    <col min="3" max="3" width="19.85546875" bestFit="1" customWidth="1"/>
    <col min="4" max="4" width="11.85546875" bestFit="1" customWidth="1"/>
    <col min="5" max="5" width="14.7109375" bestFit="1" customWidth="1"/>
    <col min="6" max="6" width="16.42578125" bestFit="1" customWidth="1"/>
    <col min="7" max="7" width="11" bestFit="1" customWidth="1"/>
    <col min="8" max="8" width="13.85546875" bestFit="1" customWidth="1"/>
    <col min="9" max="9" width="14.28515625" bestFit="1" customWidth="1"/>
    <col min="10" max="10" width="19.85546875" bestFit="1" customWidth="1"/>
    <col min="11" max="11" width="21.5703125" bestFit="1" customWidth="1"/>
    <col min="12" max="12" width="15.85546875" bestFit="1" customWidth="1"/>
    <col min="13" max="13" width="14.5703125" bestFit="1" customWidth="1"/>
    <col min="14" max="14" width="15.42578125" bestFit="1" customWidth="1"/>
  </cols>
  <sheetData>
    <row r="1" spans="1:14" x14ac:dyDescent="0.25">
      <c r="A1" t="s">
        <v>455</v>
      </c>
      <c r="B1" t="s">
        <v>456</v>
      </c>
      <c r="C1" t="s">
        <v>457</v>
      </c>
      <c r="D1" t="s">
        <v>14</v>
      </c>
      <c r="E1" t="s">
        <v>458</v>
      </c>
      <c r="F1" t="s">
        <v>459</v>
      </c>
      <c r="G1" t="s">
        <v>19</v>
      </c>
      <c r="H1" t="s">
        <v>460</v>
      </c>
      <c r="I1" t="s">
        <v>461</v>
      </c>
      <c r="J1" t="s">
        <v>462</v>
      </c>
      <c r="K1" t="s">
        <v>463</v>
      </c>
      <c r="L1" t="s">
        <v>464</v>
      </c>
      <c r="M1" t="s">
        <v>23</v>
      </c>
      <c r="N1" t="s">
        <v>465</v>
      </c>
    </row>
    <row r="2" spans="1:14" x14ac:dyDescent="0.25">
      <c r="D2" s="21"/>
      <c r="G2" s="21"/>
    </row>
    <row r="3" spans="1:14" x14ac:dyDescent="0.25">
      <c r="D3" s="21"/>
      <c r="G3" s="2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58"/>
  <sheetViews>
    <sheetView zoomScaleNormal="100" workbookViewId="0">
      <pane ySplit="1" topLeftCell="A2" activePane="bottomLeft" state="frozen"/>
      <selection activeCell="F21" sqref="F21"/>
      <selection pane="bottomLeft" activeCell="D48" sqref="D48"/>
    </sheetView>
  </sheetViews>
  <sheetFormatPr defaultRowHeight="15" x14ac:dyDescent="0.25"/>
  <cols>
    <col min="1" max="1" width="39.85546875" style="11" customWidth="1"/>
    <col min="2" max="2" width="12.7109375" style="11" customWidth="1"/>
    <col min="3" max="3" width="18.28515625" style="11" customWidth="1"/>
    <col min="4" max="4" width="44.7109375" style="11" customWidth="1"/>
    <col min="5" max="5" width="17.7109375" style="11" customWidth="1"/>
    <col min="6" max="6" width="22" style="11" customWidth="1"/>
    <col min="7" max="7" width="15.28515625" style="11" customWidth="1"/>
    <col min="8" max="8" width="25" style="11" customWidth="1"/>
    <col min="9" max="9" width="13.28515625" style="11" customWidth="1"/>
    <col min="10" max="10" width="13.140625" style="11" customWidth="1"/>
    <col min="11" max="11" width="19.5703125" style="11" customWidth="1"/>
    <col min="12" max="12" width="13.42578125" style="11" customWidth="1"/>
    <col min="13" max="13" width="12.42578125" style="11" customWidth="1"/>
    <col min="14" max="14" width="22.28515625" style="11" customWidth="1"/>
    <col min="15" max="15" width="15.28515625" style="11" customWidth="1"/>
    <col min="16" max="16" width="18" style="11" customWidth="1"/>
    <col min="17" max="17" width="16.28515625" style="11" customWidth="1"/>
    <col min="18" max="18" width="18.5703125" style="11" customWidth="1"/>
    <col min="19" max="19" width="27" style="11" customWidth="1"/>
    <col min="20" max="16384" width="9.140625" style="11"/>
  </cols>
  <sheetData>
    <row r="1" spans="1:21" s="16" customFormat="1" x14ac:dyDescent="0.25">
      <c r="A1" s="16" t="s">
        <v>10</v>
      </c>
      <c r="B1" s="16" t="s">
        <v>70</v>
      </c>
      <c r="C1" s="16" t="s">
        <v>11</v>
      </c>
      <c r="D1" s="16" t="s">
        <v>69</v>
      </c>
      <c r="E1" s="16" t="s">
        <v>12</v>
      </c>
      <c r="F1" s="16" t="s">
        <v>13</v>
      </c>
      <c r="G1" s="16" t="s">
        <v>14</v>
      </c>
      <c r="I1" s="16" t="s">
        <v>15</v>
      </c>
      <c r="J1" s="16" t="s">
        <v>16</v>
      </c>
      <c r="K1" s="16" t="s">
        <v>19</v>
      </c>
      <c r="L1" s="16" t="s">
        <v>17</v>
      </c>
      <c r="M1" s="16" t="s">
        <v>18</v>
      </c>
      <c r="N1" s="16" t="s">
        <v>20</v>
      </c>
      <c r="O1" s="16" t="s">
        <v>21</v>
      </c>
      <c r="P1" s="16" t="s">
        <v>22</v>
      </c>
      <c r="Q1" s="16" t="s">
        <v>23</v>
      </c>
      <c r="R1" s="16" t="s">
        <v>25</v>
      </c>
      <c r="S1" s="16" t="s">
        <v>24</v>
      </c>
      <c r="U1" s="16" t="s">
        <v>154</v>
      </c>
    </row>
    <row r="2" spans="1:21" x14ac:dyDescent="0.25">
      <c r="A2" s="11" t="s">
        <v>77</v>
      </c>
      <c r="B2" s="14">
        <v>2</v>
      </c>
      <c r="C2" s="11" t="s">
        <v>176</v>
      </c>
      <c r="D2" s="11" t="s">
        <v>196</v>
      </c>
      <c r="F2" s="38">
        <v>6</v>
      </c>
      <c r="G2" s="11">
        <v>1413909715</v>
      </c>
      <c r="H2" s="39">
        <v>41933.695775462962</v>
      </c>
      <c r="K2" s="11">
        <v>1413911682</v>
      </c>
      <c r="S2" s="11">
        <v>153513.779221</v>
      </c>
      <c r="T2" s="40">
        <f>S2/1000000</f>
        <v>0.15351377922100001</v>
      </c>
      <c r="U2" s="11">
        <f>(K2-G2)/60</f>
        <v>32.783333333333331</v>
      </c>
    </row>
    <row r="3" spans="1:21" x14ac:dyDescent="0.25">
      <c r="A3" s="11" t="s">
        <v>76</v>
      </c>
      <c r="B3" s="14">
        <v>2</v>
      </c>
      <c r="C3" s="11" t="s">
        <v>175</v>
      </c>
      <c r="D3" s="11" t="s">
        <v>196</v>
      </c>
      <c r="F3" s="38">
        <v>6</v>
      </c>
      <c r="G3" s="11">
        <v>1413912126</v>
      </c>
      <c r="H3" s="41">
        <v>41933.723680555559</v>
      </c>
      <c r="K3" s="11">
        <v>1413914430</v>
      </c>
      <c r="S3" s="11">
        <v>150268.61494</v>
      </c>
      <c r="T3" s="40">
        <f t="shared" ref="T3:T19" si="0">S3/1000000</f>
        <v>0.15026861493999999</v>
      </c>
      <c r="U3" s="11">
        <f t="shared" ref="U3:U19" si="1">(K3-G3)/60</f>
        <v>38.4</v>
      </c>
    </row>
    <row r="4" spans="1:21" x14ac:dyDescent="0.25">
      <c r="A4" s="11" t="s">
        <v>75</v>
      </c>
      <c r="B4" s="14">
        <v>2</v>
      </c>
      <c r="C4" s="11" t="s">
        <v>174</v>
      </c>
      <c r="D4" s="11" t="s">
        <v>196</v>
      </c>
      <c r="F4" s="38">
        <v>6</v>
      </c>
      <c r="G4" s="11">
        <v>1413914670</v>
      </c>
      <c r="H4" s="41">
        <v>41933.753125000003</v>
      </c>
      <c r="K4" s="11">
        <v>1413917235</v>
      </c>
      <c r="S4" s="11">
        <v>147100.02875999999</v>
      </c>
      <c r="T4" s="40">
        <f t="shared" si="0"/>
        <v>0.14710002875999997</v>
      </c>
      <c r="U4" s="11">
        <f t="shared" si="1"/>
        <v>42.75</v>
      </c>
    </row>
    <row r="5" spans="1:21" x14ac:dyDescent="0.25">
      <c r="A5" s="11" t="s">
        <v>65</v>
      </c>
      <c r="B5" s="14">
        <v>2</v>
      </c>
      <c r="C5" s="11" t="s">
        <v>173</v>
      </c>
      <c r="D5" s="11" t="s">
        <v>196</v>
      </c>
      <c r="F5" s="38">
        <v>6</v>
      </c>
      <c r="G5" s="11">
        <v>1413917567</v>
      </c>
      <c r="H5" s="41">
        <v>41933.78665509259</v>
      </c>
      <c r="K5" s="11">
        <v>1413919436</v>
      </c>
      <c r="S5" s="11">
        <v>140558.85906799999</v>
      </c>
      <c r="T5" s="40">
        <f t="shared" si="0"/>
        <v>0.140558859068</v>
      </c>
      <c r="U5" s="11">
        <f t="shared" si="1"/>
        <v>31.15</v>
      </c>
    </row>
    <row r="6" spans="1:21" x14ac:dyDescent="0.25">
      <c r="A6" s="11" t="s">
        <v>64</v>
      </c>
      <c r="B6" s="14">
        <v>2</v>
      </c>
      <c r="C6" s="11" t="s">
        <v>172</v>
      </c>
      <c r="D6" s="11" t="s">
        <v>196</v>
      </c>
      <c r="F6" s="38">
        <v>6</v>
      </c>
      <c r="G6" s="11">
        <v>1413919721</v>
      </c>
      <c r="H6" s="41">
        <v>41933.811585648145</v>
      </c>
      <c r="K6" s="11">
        <v>1413921132</v>
      </c>
      <c r="S6" s="11">
        <v>139458.64686499999</v>
      </c>
      <c r="T6" s="40">
        <f t="shared" si="0"/>
        <v>0.13945864686499998</v>
      </c>
      <c r="U6" s="11">
        <f t="shared" si="1"/>
        <v>23.516666666666666</v>
      </c>
    </row>
    <row r="7" spans="1:21" x14ac:dyDescent="0.25">
      <c r="A7" s="11" t="s">
        <v>63</v>
      </c>
      <c r="B7" s="14">
        <v>2</v>
      </c>
      <c r="C7" s="11" t="s">
        <v>171</v>
      </c>
      <c r="D7" s="11" t="s">
        <v>196</v>
      </c>
      <c r="F7" s="38">
        <v>6</v>
      </c>
      <c r="G7" s="11">
        <v>1413921424</v>
      </c>
      <c r="H7" s="41">
        <v>41933.831296296295</v>
      </c>
      <c r="K7" s="11">
        <v>1413922666</v>
      </c>
      <c r="S7" s="11">
        <v>136569.713885</v>
      </c>
      <c r="T7" s="40">
        <f t="shared" si="0"/>
        <v>0.136569713885</v>
      </c>
      <c r="U7" s="11">
        <f t="shared" si="1"/>
        <v>20.7</v>
      </c>
    </row>
    <row r="8" spans="1:21" x14ac:dyDescent="0.25">
      <c r="A8" s="11" t="s">
        <v>62</v>
      </c>
      <c r="B8" s="14">
        <v>2</v>
      </c>
      <c r="C8" s="11" t="s">
        <v>170</v>
      </c>
      <c r="D8" s="11" t="s">
        <v>196</v>
      </c>
      <c r="F8" s="38">
        <v>6</v>
      </c>
      <c r="G8" s="11">
        <v>1413922901</v>
      </c>
      <c r="H8" s="41">
        <v>41933.848391203705</v>
      </c>
      <c r="K8" s="11">
        <v>1413924835</v>
      </c>
      <c r="S8" s="11">
        <v>131627.58053000001</v>
      </c>
      <c r="T8" s="40">
        <f t="shared" si="0"/>
        <v>0.13162758053000001</v>
      </c>
      <c r="U8" s="11">
        <f t="shared" si="1"/>
        <v>32.233333333333334</v>
      </c>
    </row>
    <row r="9" spans="1:21" x14ac:dyDescent="0.25">
      <c r="A9" s="11" t="s">
        <v>61</v>
      </c>
      <c r="B9" s="14">
        <v>2</v>
      </c>
      <c r="C9" s="11" t="s">
        <v>169</v>
      </c>
      <c r="D9" s="11" t="s">
        <v>196</v>
      </c>
      <c r="F9" s="38">
        <v>6</v>
      </c>
      <c r="G9" s="11">
        <v>1413925121</v>
      </c>
      <c r="H9" s="41">
        <v>41933.874085648145</v>
      </c>
      <c r="K9" s="11">
        <v>1413926575</v>
      </c>
      <c r="S9" s="11">
        <v>132325.02246899999</v>
      </c>
      <c r="T9" s="40">
        <f t="shared" si="0"/>
        <v>0.13232502246899999</v>
      </c>
      <c r="U9" s="11">
        <f t="shared" si="1"/>
        <v>24.233333333333334</v>
      </c>
    </row>
    <row r="10" spans="1:21" x14ac:dyDescent="0.25">
      <c r="A10" s="11" t="s">
        <v>60</v>
      </c>
      <c r="B10" s="14">
        <v>2</v>
      </c>
      <c r="C10" s="11" t="s">
        <v>168</v>
      </c>
      <c r="D10" s="11" t="s">
        <v>196</v>
      </c>
      <c r="F10" s="38">
        <v>6</v>
      </c>
      <c r="G10" s="11">
        <v>1413927779</v>
      </c>
      <c r="H10" s="41">
        <v>41933.904849537037</v>
      </c>
      <c r="K10" s="11">
        <v>1413930071</v>
      </c>
      <c r="S10" s="11">
        <v>131254.05233800001</v>
      </c>
      <c r="T10" s="40">
        <f t="shared" si="0"/>
        <v>0.131254052338</v>
      </c>
      <c r="U10" s="11">
        <f t="shared" si="1"/>
        <v>38.200000000000003</v>
      </c>
    </row>
    <row r="11" spans="1:21" x14ac:dyDescent="0.25">
      <c r="A11" s="11" t="s">
        <v>59</v>
      </c>
      <c r="B11" s="14">
        <v>2</v>
      </c>
      <c r="C11" s="11" t="s">
        <v>167</v>
      </c>
      <c r="D11" s="11" t="s">
        <v>196</v>
      </c>
      <c r="F11" s="38">
        <v>6</v>
      </c>
      <c r="G11" s="11">
        <v>1413930758</v>
      </c>
      <c r="H11" s="41">
        <v>41933.939328703702</v>
      </c>
      <c r="K11" s="11">
        <v>1413932628</v>
      </c>
      <c r="S11" s="11">
        <v>128902.80007700001</v>
      </c>
      <c r="T11" s="40">
        <f t="shared" si="0"/>
        <v>0.128902800077</v>
      </c>
      <c r="U11" s="11">
        <f t="shared" si="1"/>
        <v>31.166666666666668</v>
      </c>
    </row>
    <row r="12" spans="1:21" x14ac:dyDescent="0.25">
      <c r="A12" s="11" t="s">
        <v>58</v>
      </c>
      <c r="B12" s="14">
        <v>2</v>
      </c>
      <c r="C12" s="11" t="s">
        <v>166</v>
      </c>
      <c r="D12" s="11" t="s">
        <v>196</v>
      </c>
      <c r="F12" s="38">
        <v>6</v>
      </c>
      <c r="G12" s="11">
        <v>1413933025</v>
      </c>
      <c r="H12" s="41">
        <v>41933.965567129628</v>
      </c>
      <c r="K12" s="11">
        <v>1413934268</v>
      </c>
      <c r="S12" s="11">
        <v>124022.279725</v>
      </c>
      <c r="T12" s="40">
        <f t="shared" si="0"/>
        <v>0.124022279725</v>
      </c>
      <c r="U12" s="11">
        <f t="shared" si="1"/>
        <v>20.716666666666665</v>
      </c>
    </row>
    <row r="13" spans="1:21" x14ac:dyDescent="0.25">
      <c r="A13" s="11" t="s">
        <v>57</v>
      </c>
      <c r="B13" s="14">
        <v>2</v>
      </c>
      <c r="C13" s="11" t="s">
        <v>165</v>
      </c>
      <c r="D13" s="11" t="s">
        <v>196</v>
      </c>
      <c r="F13" s="38">
        <v>6</v>
      </c>
      <c r="G13" s="11">
        <v>1413934538</v>
      </c>
      <c r="H13" s="41">
        <v>41933.983078703706</v>
      </c>
      <c r="K13" s="11">
        <v>1413935823</v>
      </c>
      <c r="S13" s="11">
        <v>123863.837675</v>
      </c>
      <c r="T13" s="40">
        <f t="shared" si="0"/>
        <v>0.123863837675</v>
      </c>
      <c r="U13" s="11">
        <f t="shared" si="1"/>
        <v>21.416666666666668</v>
      </c>
    </row>
    <row r="14" spans="1:21" x14ac:dyDescent="0.25">
      <c r="A14" s="11" t="s">
        <v>56</v>
      </c>
      <c r="B14" s="14">
        <v>2</v>
      </c>
      <c r="C14" s="11" t="s">
        <v>164</v>
      </c>
      <c r="D14" s="11" t="s">
        <v>196</v>
      </c>
      <c r="F14" s="38">
        <v>6</v>
      </c>
      <c r="G14" s="11">
        <v>1413936130</v>
      </c>
      <c r="H14" s="41">
        <v>41934.001504629632</v>
      </c>
      <c r="K14" s="11">
        <v>1413938152</v>
      </c>
      <c r="S14" s="11">
        <v>121577.459408</v>
      </c>
      <c r="T14" s="40">
        <f t="shared" si="0"/>
        <v>0.12157745940799999</v>
      </c>
      <c r="U14" s="11">
        <f t="shared" si="1"/>
        <v>33.700000000000003</v>
      </c>
    </row>
    <row r="15" spans="1:21" x14ac:dyDescent="0.25">
      <c r="A15" s="11" t="s">
        <v>55</v>
      </c>
      <c r="B15" s="14">
        <v>2</v>
      </c>
      <c r="C15" s="11" t="s">
        <v>163</v>
      </c>
      <c r="D15" s="11" t="s">
        <v>196</v>
      </c>
      <c r="F15" s="38">
        <v>6</v>
      </c>
      <c r="G15" s="11">
        <v>1413938423</v>
      </c>
      <c r="H15" s="41">
        <v>41934.028043981481</v>
      </c>
      <c r="K15" s="11">
        <v>1413939764</v>
      </c>
      <c r="S15" s="11">
        <v>121656.41725699999</v>
      </c>
      <c r="T15" s="40">
        <f t="shared" si="0"/>
        <v>0.12165641725699999</v>
      </c>
      <c r="U15" s="11">
        <f t="shared" si="1"/>
        <v>22.35</v>
      </c>
    </row>
    <row r="16" spans="1:21" x14ac:dyDescent="0.25">
      <c r="A16" s="11" t="s">
        <v>54</v>
      </c>
      <c r="B16" s="14">
        <v>2</v>
      </c>
      <c r="C16" s="11" t="s">
        <v>162</v>
      </c>
      <c r="D16" s="11" t="s">
        <v>196</v>
      </c>
      <c r="F16" s="38">
        <v>6</v>
      </c>
      <c r="G16" s="11">
        <v>1413994492</v>
      </c>
      <c r="H16" s="41">
        <v>41934.676990740743</v>
      </c>
      <c r="K16" s="11">
        <v>1413996530</v>
      </c>
      <c r="S16" s="11">
        <v>156902.92512500001</v>
      </c>
      <c r="T16" s="40">
        <f t="shared" si="0"/>
        <v>0.15690292512500001</v>
      </c>
      <c r="U16" s="11">
        <f t="shared" si="1"/>
        <v>33.966666666666669</v>
      </c>
    </row>
    <row r="17" spans="1:21" x14ac:dyDescent="0.25">
      <c r="A17" s="11" t="s">
        <v>53</v>
      </c>
      <c r="B17" s="14">
        <v>2</v>
      </c>
      <c r="C17" s="11" t="s">
        <v>161</v>
      </c>
      <c r="D17" s="11" t="s">
        <v>196</v>
      </c>
      <c r="F17" s="38">
        <v>6</v>
      </c>
      <c r="G17" s="11">
        <v>1413997050</v>
      </c>
      <c r="H17" s="41">
        <v>41934.706597222219</v>
      </c>
      <c r="K17" s="11">
        <v>1413998188</v>
      </c>
      <c r="S17" s="11">
        <v>146288.72227200001</v>
      </c>
      <c r="T17" s="40">
        <f t="shared" si="0"/>
        <v>0.14628872227200002</v>
      </c>
      <c r="U17" s="11">
        <f t="shared" si="1"/>
        <v>18.966666666666665</v>
      </c>
    </row>
    <row r="18" spans="1:21" x14ac:dyDescent="0.25">
      <c r="A18" s="11" t="s">
        <v>52</v>
      </c>
      <c r="B18" s="14">
        <v>2</v>
      </c>
      <c r="C18" s="11" t="s">
        <v>160</v>
      </c>
      <c r="D18" s="11" t="s">
        <v>196</v>
      </c>
      <c r="F18" s="38">
        <v>6</v>
      </c>
      <c r="G18" s="11">
        <v>1413998423</v>
      </c>
      <c r="H18" s="41">
        <v>41934.722488425927</v>
      </c>
      <c r="K18" s="11">
        <v>1413999634</v>
      </c>
      <c r="S18" s="11">
        <v>138882.084302</v>
      </c>
      <c r="T18" s="40">
        <f t="shared" si="0"/>
        <v>0.138882084302</v>
      </c>
      <c r="U18" s="11">
        <f t="shared" si="1"/>
        <v>20.183333333333334</v>
      </c>
    </row>
    <row r="19" spans="1:21" x14ac:dyDescent="0.25">
      <c r="A19" s="11" t="s">
        <v>51</v>
      </c>
      <c r="B19" s="14">
        <v>2</v>
      </c>
      <c r="C19" s="11" t="s">
        <v>159</v>
      </c>
      <c r="D19" s="11" t="s">
        <v>196</v>
      </c>
      <c r="F19" s="38">
        <v>6</v>
      </c>
      <c r="G19" s="11">
        <v>1413999887</v>
      </c>
      <c r="H19" s="41">
        <v>41934.739432870374</v>
      </c>
      <c r="K19" s="11">
        <v>1414000864</v>
      </c>
      <c r="S19" s="11">
        <v>146410.759551</v>
      </c>
      <c r="T19" s="40">
        <f t="shared" si="0"/>
        <v>0.146410759551</v>
      </c>
      <c r="U19" s="11">
        <f t="shared" si="1"/>
        <v>16.283333333333335</v>
      </c>
    </row>
    <row r="20" spans="1:21" x14ac:dyDescent="0.25">
      <c r="A20" s="11" t="s">
        <v>125</v>
      </c>
      <c r="B20" s="14">
        <v>1</v>
      </c>
      <c r="C20" s="11" t="s">
        <v>6</v>
      </c>
      <c r="D20" s="11" t="s">
        <v>198</v>
      </c>
    </row>
    <row r="21" spans="1:21" x14ac:dyDescent="0.25">
      <c r="A21" s="11" t="s">
        <v>126</v>
      </c>
      <c r="B21" s="14">
        <v>1</v>
      </c>
      <c r="C21" s="11" t="s">
        <v>6</v>
      </c>
      <c r="D21" s="11" t="s">
        <v>197</v>
      </c>
    </row>
    <row r="22" spans="1:21" x14ac:dyDescent="0.25">
      <c r="A22" s="11" t="s">
        <v>127</v>
      </c>
      <c r="B22" s="14">
        <v>1</v>
      </c>
      <c r="C22" s="11" t="s">
        <v>6</v>
      </c>
      <c r="D22" s="11" t="s">
        <v>198</v>
      </c>
    </row>
    <row r="23" spans="1:21" x14ac:dyDescent="0.25">
      <c r="A23" s="11" t="s">
        <v>128</v>
      </c>
      <c r="B23" s="14">
        <v>1</v>
      </c>
      <c r="C23" s="11" t="s">
        <v>6</v>
      </c>
      <c r="D23" s="11" t="s">
        <v>197</v>
      </c>
    </row>
    <row r="24" spans="1:21" x14ac:dyDescent="0.25">
      <c r="A24" s="11" t="s">
        <v>129</v>
      </c>
      <c r="B24" s="14">
        <v>1</v>
      </c>
      <c r="C24" s="11" t="s">
        <v>6</v>
      </c>
      <c r="D24" s="11" t="s">
        <v>198</v>
      </c>
    </row>
    <row r="25" spans="1:21" x14ac:dyDescent="0.25">
      <c r="A25" s="11" t="s">
        <v>130</v>
      </c>
      <c r="B25" s="14">
        <v>1</v>
      </c>
      <c r="C25" s="11" t="s">
        <v>6</v>
      </c>
      <c r="D25" s="11" t="s">
        <v>197</v>
      </c>
    </row>
    <row r="26" spans="1:21" x14ac:dyDescent="0.25">
      <c r="A26" s="11" t="s">
        <v>131</v>
      </c>
      <c r="B26" s="14">
        <v>1</v>
      </c>
      <c r="C26" s="11" t="s">
        <v>6</v>
      </c>
      <c r="D26" s="11" t="s">
        <v>198</v>
      </c>
    </row>
    <row r="27" spans="1:21" x14ac:dyDescent="0.25">
      <c r="A27" s="11" t="s">
        <v>132</v>
      </c>
      <c r="B27" s="14">
        <v>1</v>
      </c>
      <c r="C27" s="11" t="s">
        <v>6</v>
      </c>
      <c r="D27" s="11" t="s">
        <v>197</v>
      </c>
    </row>
    <row r="28" spans="1:21" x14ac:dyDescent="0.25">
      <c r="A28" s="11" t="s">
        <v>133</v>
      </c>
      <c r="B28" s="14">
        <v>1</v>
      </c>
      <c r="C28" s="11" t="s">
        <v>6</v>
      </c>
      <c r="D28" s="11" t="s">
        <v>198</v>
      </c>
    </row>
    <row r="29" spans="1:21" x14ac:dyDescent="0.25">
      <c r="A29" s="11" t="s">
        <v>134</v>
      </c>
      <c r="B29" s="14">
        <v>1</v>
      </c>
      <c r="C29" s="11" t="s">
        <v>6</v>
      </c>
      <c r="D29" s="11" t="s">
        <v>197</v>
      </c>
    </row>
    <row r="30" spans="1:21" x14ac:dyDescent="0.25">
      <c r="A30" s="11" t="s">
        <v>135</v>
      </c>
      <c r="B30" s="14">
        <v>1</v>
      </c>
      <c r="C30" s="11" t="s">
        <v>6</v>
      </c>
      <c r="D30" s="11" t="s">
        <v>198</v>
      </c>
    </row>
    <row r="31" spans="1:21" x14ac:dyDescent="0.25">
      <c r="A31" s="11" t="s">
        <v>136</v>
      </c>
      <c r="B31" s="14">
        <v>1</v>
      </c>
      <c r="C31" s="11" t="s">
        <v>6</v>
      </c>
      <c r="D31" s="11" t="s">
        <v>197</v>
      </c>
    </row>
    <row r="32" spans="1:21" x14ac:dyDescent="0.25">
      <c r="A32" s="11" t="s">
        <v>137</v>
      </c>
      <c r="B32" s="14">
        <v>1</v>
      </c>
      <c r="C32" s="11" t="s">
        <v>6</v>
      </c>
      <c r="D32" s="11" t="s">
        <v>198</v>
      </c>
    </row>
    <row r="33" spans="1:4" x14ac:dyDescent="0.25">
      <c r="A33" s="11" t="s">
        <v>138</v>
      </c>
      <c r="B33" s="14">
        <v>1</v>
      </c>
      <c r="C33" s="11" t="s">
        <v>6</v>
      </c>
      <c r="D33" s="11" t="s">
        <v>197</v>
      </c>
    </row>
    <row r="34" spans="1:4" x14ac:dyDescent="0.25">
      <c r="A34" s="11" t="s">
        <v>139</v>
      </c>
      <c r="B34" s="14">
        <v>1</v>
      </c>
      <c r="C34" s="11" t="s">
        <v>6</v>
      </c>
      <c r="D34" s="11" t="s">
        <v>198</v>
      </c>
    </row>
    <row r="35" spans="1:4" x14ac:dyDescent="0.25">
      <c r="A35" s="11" t="s">
        <v>140</v>
      </c>
      <c r="B35" s="14">
        <v>1</v>
      </c>
      <c r="C35" s="11" t="s">
        <v>6</v>
      </c>
      <c r="D35" s="11" t="s">
        <v>197</v>
      </c>
    </row>
    <row r="36" spans="1:4" x14ac:dyDescent="0.25">
      <c r="A36" s="11" t="s">
        <v>141</v>
      </c>
      <c r="B36" s="14">
        <v>1</v>
      </c>
      <c r="C36" s="11" t="s">
        <v>6</v>
      </c>
      <c r="D36" s="11" t="s">
        <v>198</v>
      </c>
    </row>
    <row r="37" spans="1:4" x14ac:dyDescent="0.25">
      <c r="A37" s="11" t="s">
        <v>142</v>
      </c>
      <c r="B37" s="14">
        <v>1</v>
      </c>
      <c r="C37" s="11" t="s">
        <v>6</v>
      </c>
      <c r="D37" s="11" t="s">
        <v>197</v>
      </c>
    </row>
    <row r="38" spans="1:4" x14ac:dyDescent="0.25">
      <c r="A38" s="11" t="s">
        <v>201</v>
      </c>
      <c r="B38" s="14">
        <v>1</v>
      </c>
      <c r="C38" s="11" t="s">
        <v>6</v>
      </c>
      <c r="D38" s="11" t="s">
        <v>271</v>
      </c>
    </row>
    <row r="39" spans="1:4" x14ac:dyDescent="0.25">
      <c r="A39" s="11" t="s">
        <v>202</v>
      </c>
      <c r="B39" s="14">
        <v>1</v>
      </c>
      <c r="C39" s="11" t="s">
        <v>6</v>
      </c>
      <c r="D39" s="11" t="s">
        <v>272</v>
      </c>
    </row>
    <row r="40" spans="1:4" x14ac:dyDescent="0.25">
      <c r="A40" s="11" t="s">
        <v>203</v>
      </c>
      <c r="B40" s="14">
        <v>1</v>
      </c>
      <c r="C40" s="11" t="s">
        <v>6</v>
      </c>
      <c r="D40" s="11" t="s">
        <v>271</v>
      </c>
    </row>
    <row r="41" spans="1:4" x14ac:dyDescent="0.25">
      <c r="A41" s="11" t="s">
        <v>179</v>
      </c>
      <c r="B41" s="14">
        <v>1</v>
      </c>
      <c r="C41" s="11" t="s">
        <v>6</v>
      </c>
      <c r="D41" s="11" t="s">
        <v>200</v>
      </c>
    </row>
    <row r="42" spans="1:4" x14ac:dyDescent="0.25">
      <c r="A42" s="11" t="s">
        <v>78</v>
      </c>
      <c r="B42" s="14">
        <v>1</v>
      </c>
      <c r="C42" s="11" t="s">
        <v>6</v>
      </c>
      <c r="D42" s="11" t="s">
        <v>199</v>
      </c>
    </row>
    <row r="43" spans="1:4" x14ac:dyDescent="0.25">
      <c r="A43" s="11" t="s">
        <v>79</v>
      </c>
      <c r="B43" s="14">
        <v>1</v>
      </c>
      <c r="C43" s="11" t="s">
        <v>6</v>
      </c>
      <c r="D43" s="11" t="s">
        <v>200</v>
      </c>
    </row>
    <row r="44" spans="1:4" x14ac:dyDescent="0.25">
      <c r="A44" s="11" t="s">
        <v>80</v>
      </c>
      <c r="B44" s="14">
        <v>1</v>
      </c>
      <c r="C44" s="11" t="s">
        <v>6</v>
      </c>
      <c r="D44" s="11" t="s">
        <v>199</v>
      </c>
    </row>
    <row r="45" spans="1:4" x14ac:dyDescent="0.25">
      <c r="A45" s="11" t="s">
        <v>81</v>
      </c>
      <c r="B45" s="14">
        <v>1</v>
      </c>
      <c r="C45" s="11" t="s">
        <v>6</v>
      </c>
      <c r="D45" s="11" t="s">
        <v>200</v>
      </c>
    </row>
    <row r="46" spans="1:4" x14ac:dyDescent="0.25">
      <c r="A46" s="11" t="s">
        <v>82</v>
      </c>
      <c r="B46" s="14">
        <v>1</v>
      </c>
      <c r="C46" s="11" t="s">
        <v>6</v>
      </c>
      <c r="D46" s="11" t="s">
        <v>199</v>
      </c>
    </row>
    <row r="47" spans="1:4" x14ac:dyDescent="0.25">
      <c r="A47" s="11" t="s">
        <v>83</v>
      </c>
      <c r="B47" s="14">
        <v>1</v>
      </c>
      <c r="C47" s="11" t="s">
        <v>6</v>
      </c>
      <c r="D47" s="11" t="s">
        <v>273</v>
      </c>
    </row>
    <row r="48" spans="1:4" x14ac:dyDescent="0.25">
      <c r="A48" s="11" t="s">
        <v>84</v>
      </c>
      <c r="B48" s="14">
        <v>1</v>
      </c>
      <c r="C48" s="11" t="s">
        <v>6</v>
      </c>
      <c r="D48" s="11" t="s">
        <v>274</v>
      </c>
    </row>
    <row r="49" spans="1:4" s="10" customFormat="1" x14ac:dyDescent="0.25">
      <c r="A49" s="10" t="s">
        <v>222</v>
      </c>
      <c r="B49" s="14">
        <v>1</v>
      </c>
      <c r="C49" s="11" t="s">
        <v>6</v>
      </c>
      <c r="D49" s="10" t="s">
        <v>273</v>
      </c>
    </row>
    <row r="50" spans="1:4" s="10" customFormat="1" x14ac:dyDescent="0.25">
      <c r="A50" s="10" t="s">
        <v>223</v>
      </c>
      <c r="B50" s="14">
        <v>1</v>
      </c>
      <c r="C50" s="11" t="s">
        <v>6</v>
      </c>
      <c r="D50" s="10" t="s">
        <v>274</v>
      </c>
    </row>
    <row r="51" spans="1:4" s="10" customFormat="1" x14ac:dyDescent="0.25">
      <c r="A51" s="10" t="s">
        <v>224</v>
      </c>
      <c r="B51" s="14">
        <v>1</v>
      </c>
      <c r="C51" s="11" t="s">
        <v>6</v>
      </c>
      <c r="D51" s="10" t="s">
        <v>273</v>
      </c>
    </row>
    <row r="52" spans="1:4" s="10" customFormat="1" x14ac:dyDescent="0.25">
      <c r="A52" s="10" t="s">
        <v>225</v>
      </c>
      <c r="B52" s="14">
        <v>1</v>
      </c>
      <c r="C52" s="11" t="s">
        <v>6</v>
      </c>
      <c r="D52" s="10" t="s">
        <v>271</v>
      </c>
    </row>
    <row r="53" spans="1:4" s="10" customFormat="1" x14ac:dyDescent="0.25">
      <c r="A53" s="10" t="s">
        <v>226</v>
      </c>
      <c r="B53" s="14">
        <v>1</v>
      </c>
      <c r="C53" s="11" t="s">
        <v>6</v>
      </c>
      <c r="D53" s="10" t="s">
        <v>200</v>
      </c>
    </row>
    <row r="54" spans="1:4" s="10" customFormat="1" x14ac:dyDescent="0.25">
      <c r="A54" s="10" t="s">
        <v>227</v>
      </c>
      <c r="B54" s="14">
        <v>1</v>
      </c>
      <c r="C54" s="11" t="s">
        <v>6</v>
      </c>
      <c r="D54" s="10" t="s">
        <v>199</v>
      </c>
    </row>
    <row r="55" spans="1:4" s="10" customFormat="1" x14ac:dyDescent="0.25">
      <c r="A55" s="10" t="s">
        <v>228</v>
      </c>
      <c r="B55" s="14">
        <v>1</v>
      </c>
      <c r="C55" s="11" t="s">
        <v>6</v>
      </c>
      <c r="D55" s="10" t="s">
        <v>200</v>
      </c>
    </row>
    <row r="56" spans="1:4" s="10" customFormat="1" x14ac:dyDescent="0.25">
      <c r="A56" s="10" t="s">
        <v>229</v>
      </c>
      <c r="B56" s="14">
        <v>1</v>
      </c>
      <c r="C56" s="11" t="s">
        <v>6</v>
      </c>
      <c r="D56" s="10" t="s">
        <v>275</v>
      </c>
    </row>
    <row r="57" spans="1:4" s="10" customFormat="1" x14ac:dyDescent="0.25">
      <c r="A57" s="10" t="s">
        <v>230</v>
      </c>
      <c r="B57" s="14">
        <v>1</v>
      </c>
      <c r="C57" s="11" t="s">
        <v>6</v>
      </c>
      <c r="D57" s="10" t="s">
        <v>276</v>
      </c>
    </row>
    <row r="58" spans="1:4" s="10" customFormat="1" x14ac:dyDescent="0.25">
      <c r="A58" s="10" t="s">
        <v>277</v>
      </c>
      <c r="B58" s="14">
        <v>1</v>
      </c>
      <c r="C58" s="11" t="s">
        <v>6</v>
      </c>
      <c r="D58" s="10" t="s">
        <v>276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6145" r:id="rId4" name="CommandButton21">
          <controlPr defaultSize="0" autoLine="0" r:id="rId5">
            <anchor moveWithCells="1">
              <from>
                <xdr:col>4</xdr:col>
                <xdr:colOff>409575</xdr:colOff>
                <xdr:row>49</xdr:row>
                <xdr:rowOff>85725</xdr:rowOff>
              </from>
              <to>
                <xdr:col>7</xdr:col>
                <xdr:colOff>361950</xdr:colOff>
                <xdr:row>52</xdr:row>
                <xdr:rowOff>47625</xdr:rowOff>
              </to>
            </anchor>
          </controlPr>
        </control>
      </mc:Choice>
      <mc:Fallback>
        <control shapeId="6145" r:id="rId4" name="CommandButton2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8"/>
  <sheetViews>
    <sheetView workbookViewId="0">
      <pane ySplit="1" topLeftCell="A2" activePane="bottomLeft" state="frozen"/>
      <selection activeCell="F21" sqref="F21"/>
      <selection pane="bottomLeft" activeCell="A2" sqref="A2"/>
    </sheetView>
  </sheetViews>
  <sheetFormatPr defaultRowHeight="15" x14ac:dyDescent="0.25"/>
  <cols>
    <col min="1" max="1" width="38.5703125" customWidth="1"/>
    <col min="2" max="2" width="51.7109375" customWidth="1"/>
    <col min="3" max="3" width="15.140625" customWidth="1"/>
    <col min="4" max="4" width="43.7109375" customWidth="1"/>
    <col min="5" max="5" width="40.140625" customWidth="1"/>
  </cols>
  <sheetData>
    <row r="1" spans="1:5" s="7" customFormat="1" x14ac:dyDescent="0.25">
      <c r="A1" s="7" t="s">
        <v>157</v>
      </c>
      <c r="B1" s="7" t="s">
        <v>69</v>
      </c>
      <c r="C1" s="7" t="s">
        <v>466</v>
      </c>
      <c r="D1" s="7" t="s">
        <v>67</v>
      </c>
      <c r="E1" s="7" t="s">
        <v>68</v>
      </c>
    </row>
    <row r="2" spans="1:5" x14ac:dyDescent="0.25">
      <c r="A2" s="10" t="s">
        <v>386</v>
      </c>
      <c r="B2" s="11" t="s">
        <v>234</v>
      </c>
      <c r="C2" s="11">
        <v>1</v>
      </c>
      <c r="D2" s="11" t="s">
        <v>51</v>
      </c>
      <c r="E2" t="s">
        <v>79</v>
      </c>
    </row>
    <row r="3" spans="1:5" x14ac:dyDescent="0.25">
      <c r="A3" s="11" t="s">
        <v>387</v>
      </c>
      <c r="B3" s="11" t="s">
        <v>234</v>
      </c>
      <c r="C3" s="11">
        <v>1</v>
      </c>
      <c r="D3" s="11" t="s">
        <v>52</v>
      </c>
      <c r="E3" t="s">
        <v>80</v>
      </c>
    </row>
    <row r="4" spans="1:5" x14ac:dyDescent="0.25">
      <c r="A4" s="11" t="s">
        <v>388</v>
      </c>
      <c r="B4" s="11" t="s">
        <v>234</v>
      </c>
      <c r="C4" s="11">
        <v>1</v>
      </c>
      <c r="D4" s="11" t="s">
        <v>53</v>
      </c>
      <c r="E4" t="s">
        <v>81</v>
      </c>
    </row>
    <row r="5" spans="1:5" x14ac:dyDescent="0.25">
      <c r="A5" s="11" t="s">
        <v>389</v>
      </c>
      <c r="B5" s="11" t="s">
        <v>234</v>
      </c>
      <c r="C5" s="11">
        <v>1</v>
      </c>
      <c r="D5" s="11" t="s">
        <v>54</v>
      </c>
      <c r="E5" t="s">
        <v>82</v>
      </c>
    </row>
    <row r="6" spans="1:5" x14ac:dyDescent="0.25">
      <c r="A6" s="11" t="s">
        <v>390</v>
      </c>
      <c r="B6" s="11" t="s">
        <v>234</v>
      </c>
      <c r="C6" s="11">
        <v>1</v>
      </c>
      <c r="D6" s="11" t="s">
        <v>55</v>
      </c>
      <c r="E6" t="s">
        <v>83</v>
      </c>
    </row>
    <row r="7" spans="1:5" x14ac:dyDescent="0.25">
      <c r="A7" s="11" t="s">
        <v>391</v>
      </c>
      <c r="B7" s="11" t="s">
        <v>234</v>
      </c>
      <c r="C7" s="11">
        <v>1</v>
      </c>
      <c r="D7" s="11" t="s">
        <v>56</v>
      </c>
      <c r="E7" t="s">
        <v>84</v>
      </c>
    </row>
    <row r="8" spans="1:5" x14ac:dyDescent="0.25">
      <c r="A8" s="11" t="s">
        <v>392</v>
      </c>
      <c r="B8" s="11" t="s">
        <v>234</v>
      </c>
      <c r="C8" s="11">
        <v>1</v>
      </c>
      <c r="D8" s="11" t="s">
        <v>57</v>
      </c>
      <c r="E8" t="s">
        <v>85</v>
      </c>
    </row>
    <row r="9" spans="1:5" x14ac:dyDescent="0.25">
      <c r="A9" s="11" t="s">
        <v>393</v>
      </c>
      <c r="B9" s="11" t="s">
        <v>234</v>
      </c>
      <c r="C9" s="11">
        <v>1</v>
      </c>
      <c r="D9" s="11" t="s">
        <v>58</v>
      </c>
      <c r="E9" t="s">
        <v>86</v>
      </c>
    </row>
    <row r="10" spans="1:5" x14ac:dyDescent="0.25">
      <c r="A10" s="11" t="s">
        <v>394</v>
      </c>
      <c r="B10" s="11" t="s">
        <v>234</v>
      </c>
      <c r="C10" s="11">
        <v>1</v>
      </c>
      <c r="D10" s="11" t="s">
        <v>59</v>
      </c>
      <c r="E10" t="s">
        <v>87</v>
      </c>
    </row>
    <row r="11" spans="1:5" x14ac:dyDescent="0.25">
      <c r="A11" s="11" t="s">
        <v>395</v>
      </c>
      <c r="B11" s="11" t="s">
        <v>234</v>
      </c>
      <c r="C11" s="11">
        <v>1</v>
      </c>
      <c r="D11" s="11" t="s">
        <v>60</v>
      </c>
      <c r="E11" t="s">
        <v>88</v>
      </c>
    </row>
    <row r="12" spans="1:5" x14ac:dyDescent="0.25">
      <c r="A12" s="11" t="s">
        <v>396</v>
      </c>
      <c r="B12" s="11" t="s">
        <v>234</v>
      </c>
      <c r="C12" s="11">
        <v>1</v>
      </c>
      <c r="D12" s="11" t="s">
        <v>61</v>
      </c>
      <c r="E12" t="s">
        <v>89</v>
      </c>
    </row>
    <row r="13" spans="1:5" x14ac:dyDescent="0.25">
      <c r="A13" s="11" t="s">
        <v>397</v>
      </c>
      <c r="B13" s="11" t="s">
        <v>234</v>
      </c>
      <c r="C13" s="11">
        <v>1</v>
      </c>
      <c r="D13" s="11" t="s">
        <v>62</v>
      </c>
      <c r="E13" t="s">
        <v>90</v>
      </c>
    </row>
    <row r="14" spans="1:5" x14ac:dyDescent="0.25">
      <c r="A14" s="11" t="s">
        <v>398</v>
      </c>
      <c r="B14" s="11" t="s">
        <v>234</v>
      </c>
      <c r="C14" s="11">
        <v>1</v>
      </c>
      <c r="D14" s="11" t="s">
        <v>63</v>
      </c>
      <c r="E14" t="s">
        <v>91</v>
      </c>
    </row>
    <row r="15" spans="1:5" x14ac:dyDescent="0.25">
      <c r="A15" s="11" t="s">
        <v>399</v>
      </c>
      <c r="B15" s="11" t="s">
        <v>234</v>
      </c>
      <c r="C15" s="11">
        <v>1</v>
      </c>
      <c r="D15" s="11" t="s">
        <v>64</v>
      </c>
      <c r="E15" t="s">
        <v>92</v>
      </c>
    </row>
    <row r="16" spans="1:5" x14ac:dyDescent="0.25">
      <c r="A16" s="11" t="s">
        <v>400</v>
      </c>
      <c r="B16" s="11" t="s">
        <v>234</v>
      </c>
      <c r="C16" s="11">
        <v>1</v>
      </c>
      <c r="D16" s="11" t="s">
        <v>65</v>
      </c>
      <c r="E16" t="s">
        <v>93</v>
      </c>
    </row>
    <row r="17" spans="1:5" x14ac:dyDescent="0.25">
      <c r="A17" s="19" t="s">
        <v>401</v>
      </c>
      <c r="B17" s="11" t="s">
        <v>234</v>
      </c>
      <c r="C17" s="11">
        <v>1</v>
      </c>
      <c r="D17" s="11" t="s">
        <v>75</v>
      </c>
      <c r="E17" s="8" t="s">
        <v>94</v>
      </c>
    </row>
    <row r="18" spans="1:5" x14ac:dyDescent="0.25">
      <c r="A18" s="11" t="s">
        <v>402</v>
      </c>
      <c r="B18" s="11" t="s">
        <v>234</v>
      </c>
      <c r="C18" s="11">
        <v>1</v>
      </c>
      <c r="D18" s="11" t="s">
        <v>76</v>
      </c>
      <c r="E18" t="s">
        <v>95</v>
      </c>
    </row>
    <row r="19" spans="1:5" x14ac:dyDescent="0.25">
      <c r="A19" s="11" t="s">
        <v>403</v>
      </c>
      <c r="B19" s="11" t="s">
        <v>234</v>
      </c>
      <c r="C19" s="11">
        <v>1</v>
      </c>
      <c r="D19" s="11" t="s">
        <v>77</v>
      </c>
      <c r="E19" t="s">
        <v>96</v>
      </c>
    </row>
    <row r="20" spans="1:5" s="10" customFormat="1" x14ac:dyDescent="0.25">
      <c r="A20" s="11" t="s">
        <v>404</v>
      </c>
      <c r="B20" s="11" t="s">
        <v>180</v>
      </c>
      <c r="C20" s="11">
        <v>1</v>
      </c>
      <c r="D20" s="11" t="s">
        <v>125</v>
      </c>
      <c r="E20" s="10" t="s">
        <v>97</v>
      </c>
    </row>
    <row r="21" spans="1:5" x14ac:dyDescent="0.25">
      <c r="A21" s="11" t="s">
        <v>405</v>
      </c>
      <c r="B21" s="11" t="s">
        <v>181</v>
      </c>
      <c r="C21" s="11">
        <v>1</v>
      </c>
      <c r="D21" s="11" t="s">
        <v>126</v>
      </c>
      <c r="E21" t="s">
        <v>213</v>
      </c>
    </row>
    <row r="22" spans="1:5" x14ac:dyDescent="0.25">
      <c r="A22" s="11" t="s">
        <v>406</v>
      </c>
      <c r="B22" s="11" t="s">
        <v>180</v>
      </c>
      <c r="C22" s="11">
        <v>1</v>
      </c>
      <c r="D22" s="11" t="s">
        <v>127</v>
      </c>
      <c r="E22" t="s">
        <v>98</v>
      </c>
    </row>
    <row r="23" spans="1:5" x14ac:dyDescent="0.25">
      <c r="A23" t="s">
        <v>407</v>
      </c>
      <c r="B23" s="11" t="s">
        <v>181</v>
      </c>
      <c r="C23" s="11">
        <v>1</v>
      </c>
      <c r="D23" s="11" t="s">
        <v>128</v>
      </c>
      <c r="E23" t="s">
        <v>214</v>
      </c>
    </row>
    <row r="24" spans="1:5" x14ac:dyDescent="0.25">
      <c r="A24" s="8" t="s">
        <v>408</v>
      </c>
      <c r="B24" s="11" t="s">
        <v>180</v>
      </c>
      <c r="C24" s="11">
        <v>1</v>
      </c>
      <c r="D24" s="11" t="s">
        <v>129</v>
      </c>
      <c r="E24" t="s">
        <v>110</v>
      </c>
    </row>
    <row r="25" spans="1:5" x14ac:dyDescent="0.25">
      <c r="A25" t="s">
        <v>409</v>
      </c>
      <c r="B25" s="11" t="s">
        <v>181</v>
      </c>
      <c r="C25" s="11">
        <v>1</v>
      </c>
      <c r="D25" s="11" t="s">
        <v>130</v>
      </c>
      <c r="E25" t="s">
        <v>215</v>
      </c>
    </row>
    <row r="26" spans="1:5" x14ac:dyDescent="0.25">
      <c r="A26" t="s">
        <v>410</v>
      </c>
      <c r="B26" s="11" t="s">
        <v>180</v>
      </c>
      <c r="C26" s="11">
        <v>1</v>
      </c>
      <c r="D26" s="11" t="s">
        <v>131</v>
      </c>
      <c r="E26" t="s">
        <v>99</v>
      </c>
    </row>
    <row r="27" spans="1:5" x14ac:dyDescent="0.25">
      <c r="A27" s="11" t="s">
        <v>411</v>
      </c>
      <c r="B27" s="11" t="s">
        <v>181</v>
      </c>
      <c r="C27" s="11">
        <v>1</v>
      </c>
      <c r="D27" s="11" t="s">
        <v>132</v>
      </c>
      <c r="E27" t="s">
        <v>216</v>
      </c>
    </row>
    <row r="28" spans="1:5" x14ac:dyDescent="0.25">
      <c r="A28" s="11" t="s">
        <v>412</v>
      </c>
      <c r="B28" s="11" t="s">
        <v>180</v>
      </c>
      <c r="C28" s="11">
        <v>1</v>
      </c>
      <c r="D28" s="11" t="s">
        <v>133</v>
      </c>
      <c r="E28" t="s">
        <v>100</v>
      </c>
    </row>
    <row r="29" spans="1:5" x14ac:dyDescent="0.25">
      <c r="A29" s="11" t="s">
        <v>413</v>
      </c>
      <c r="B29" s="11" t="s">
        <v>181</v>
      </c>
      <c r="C29" s="11">
        <v>1</v>
      </c>
      <c r="D29" s="11" t="s">
        <v>134</v>
      </c>
      <c r="E29" t="s">
        <v>217</v>
      </c>
    </row>
    <row r="30" spans="1:5" x14ac:dyDescent="0.25">
      <c r="A30" s="10" t="s">
        <v>414</v>
      </c>
      <c r="B30" s="11" t="s">
        <v>180</v>
      </c>
      <c r="C30" s="11">
        <v>1</v>
      </c>
      <c r="D30" s="11" t="s">
        <v>135</v>
      </c>
      <c r="E30" t="s">
        <v>101</v>
      </c>
    </row>
    <row r="31" spans="1:5" x14ac:dyDescent="0.25">
      <c r="A31" s="10" t="s">
        <v>415</v>
      </c>
      <c r="B31" s="11" t="s">
        <v>181</v>
      </c>
      <c r="C31" s="11">
        <v>1</v>
      </c>
      <c r="D31" s="11" t="s">
        <v>136</v>
      </c>
      <c r="E31" t="s">
        <v>218</v>
      </c>
    </row>
    <row r="32" spans="1:5" x14ac:dyDescent="0.25">
      <c r="A32" s="10" t="s">
        <v>416</v>
      </c>
      <c r="B32" s="11" t="s">
        <v>180</v>
      </c>
      <c r="C32" s="11">
        <v>1</v>
      </c>
      <c r="D32" s="11" t="s">
        <v>137</v>
      </c>
      <c r="E32" t="s">
        <v>102</v>
      </c>
    </row>
    <row r="33" spans="1:5" ht="15.75" customHeight="1" x14ac:dyDescent="0.25">
      <c r="A33" s="10" t="s">
        <v>417</v>
      </c>
      <c r="B33" s="11" t="s">
        <v>181</v>
      </c>
      <c r="C33" s="11">
        <v>1</v>
      </c>
      <c r="D33" s="11" t="s">
        <v>138</v>
      </c>
      <c r="E33" t="s">
        <v>219</v>
      </c>
    </row>
    <row r="34" spans="1:5" x14ac:dyDescent="0.25">
      <c r="A34" s="10" t="s">
        <v>418</v>
      </c>
      <c r="B34" s="11" t="s">
        <v>180</v>
      </c>
      <c r="C34" s="11">
        <v>1</v>
      </c>
      <c r="D34" s="11" t="s">
        <v>139</v>
      </c>
      <c r="E34" t="s">
        <v>103</v>
      </c>
    </row>
    <row r="35" spans="1:5" x14ac:dyDescent="0.25">
      <c r="A35" s="10" t="s">
        <v>419</v>
      </c>
      <c r="B35" s="11" t="s">
        <v>181</v>
      </c>
      <c r="C35" s="11">
        <v>1</v>
      </c>
      <c r="D35" s="11" t="s">
        <v>140</v>
      </c>
      <c r="E35" t="s">
        <v>220</v>
      </c>
    </row>
    <row r="36" spans="1:5" x14ac:dyDescent="0.25">
      <c r="A36" s="10" t="s">
        <v>420</v>
      </c>
      <c r="B36" s="11" t="s">
        <v>180</v>
      </c>
      <c r="C36" s="11">
        <v>1</v>
      </c>
      <c r="D36" s="11" t="s">
        <v>141</v>
      </c>
      <c r="E36" t="s">
        <v>221</v>
      </c>
    </row>
    <row r="37" spans="1:5" x14ac:dyDescent="0.25">
      <c r="A37" s="10" t="s">
        <v>421</v>
      </c>
      <c r="B37" s="11" t="s">
        <v>181</v>
      </c>
      <c r="C37" s="11">
        <v>1</v>
      </c>
      <c r="D37" s="11" t="s">
        <v>142</v>
      </c>
      <c r="E37" t="s">
        <v>104</v>
      </c>
    </row>
    <row r="38" spans="1:5" x14ac:dyDescent="0.25">
      <c r="A38" s="11" t="s">
        <v>422</v>
      </c>
      <c r="B38" s="25" t="s">
        <v>304</v>
      </c>
      <c r="C38" s="25">
        <v>1</v>
      </c>
      <c r="D38" s="11" t="s">
        <v>201</v>
      </c>
      <c r="E38" t="s">
        <v>105</v>
      </c>
    </row>
    <row r="39" spans="1:5" x14ac:dyDescent="0.25">
      <c r="A39" s="11" t="s">
        <v>423</v>
      </c>
      <c r="B39" s="25" t="s">
        <v>303</v>
      </c>
      <c r="C39" s="25">
        <v>1</v>
      </c>
      <c r="D39" s="11" t="s">
        <v>202</v>
      </c>
      <c r="E39" t="s">
        <v>105</v>
      </c>
    </row>
    <row r="40" spans="1:5" x14ac:dyDescent="0.25">
      <c r="A40" s="11" t="s">
        <v>424</v>
      </c>
      <c r="B40" s="25" t="s">
        <v>304</v>
      </c>
      <c r="C40" s="25">
        <v>1</v>
      </c>
      <c r="D40" s="11" t="s">
        <v>203</v>
      </c>
      <c r="E40" t="s">
        <v>105</v>
      </c>
    </row>
    <row r="41" spans="1:5" x14ac:dyDescent="0.25">
      <c r="A41" s="11" t="s">
        <v>425</v>
      </c>
      <c r="B41" s="34" t="s">
        <v>187</v>
      </c>
      <c r="C41" s="34">
        <v>1</v>
      </c>
      <c r="D41" s="11" t="s">
        <v>179</v>
      </c>
      <c r="E41" t="s">
        <v>108</v>
      </c>
    </row>
    <row r="42" spans="1:5" x14ac:dyDescent="0.25">
      <c r="A42" s="11" t="s">
        <v>426</v>
      </c>
      <c r="B42" s="34" t="s">
        <v>186</v>
      </c>
      <c r="C42" s="34">
        <v>1</v>
      </c>
      <c r="D42" s="11" t="s">
        <v>78</v>
      </c>
      <c r="E42" t="s">
        <v>108</v>
      </c>
    </row>
    <row r="43" spans="1:5" x14ac:dyDescent="0.25">
      <c r="A43" s="11" t="s">
        <v>427</v>
      </c>
      <c r="B43" s="34" t="s">
        <v>187</v>
      </c>
      <c r="C43" s="34">
        <v>1</v>
      </c>
      <c r="D43" s="11" t="s">
        <v>79</v>
      </c>
      <c r="E43" t="s">
        <v>108</v>
      </c>
    </row>
    <row r="44" spans="1:5" x14ac:dyDescent="0.25">
      <c r="A44" s="11" t="s">
        <v>428</v>
      </c>
      <c r="B44" s="34" t="s">
        <v>186</v>
      </c>
      <c r="C44" s="34">
        <v>1</v>
      </c>
      <c r="D44" s="11" t="s">
        <v>80</v>
      </c>
      <c r="E44" t="s">
        <v>108</v>
      </c>
    </row>
    <row r="45" spans="1:5" x14ac:dyDescent="0.25">
      <c r="A45" s="11" t="s">
        <v>429</v>
      </c>
      <c r="B45" s="34" t="s">
        <v>187</v>
      </c>
      <c r="C45" s="34">
        <v>1</v>
      </c>
      <c r="D45" s="11" t="s">
        <v>81</v>
      </c>
      <c r="E45" t="s">
        <v>108</v>
      </c>
    </row>
    <row r="46" spans="1:5" x14ac:dyDescent="0.25">
      <c r="A46" s="19" t="s">
        <v>430</v>
      </c>
      <c r="B46" s="34" t="s">
        <v>186</v>
      </c>
      <c r="C46" s="34">
        <v>1</v>
      </c>
      <c r="D46" s="11" t="s">
        <v>82</v>
      </c>
      <c r="E46" t="s">
        <v>222</v>
      </c>
    </row>
    <row r="47" spans="1:5" x14ac:dyDescent="0.25">
      <c r="A47" s="11" t="s">
        <v>431</v>
      </c>
      <c r="B47" s="10" t="s">
        <v>305</v>
      </c>
      <c r="C47" s="10">
        <v>1</v>
      </c>
      <c r="D47" s="11" t="s">
        <v>83</v>
      </c>
      <c r="E47" t="s">
        <v>106</v>
      </c>
    </row>
    <row r="48" spans="1:5" x14ac:dyDescent="0.25">
      <c r="A48" s="11" t="s">
        <v>432</v>
      </c>
      <c r="B48" s="10" t="s">
        <v>306</v>
      </c>
      <c r="C48" s="10">
        <v>1</v>
      </c>
      <c r="D48" s="11" t="s">
        <v>84</v>
      </c>
      <c r="E48" t="s">
        <v>106</v>
      </c>
    </row>
    <row r="49" spans="1:10" x14ac:dyDescent="0.25">
      <c r="A49" t="s">
        <v>433</v>
      </c>
      <c r="B49" s="10" t="s">
        <v>305</v>
      </c>
      <c r="C49" s="10">
        <v>1</v>
      </c>
      <c r="D49" t="s">
        <v>222</v>
      </c>
      <c r="E49" t="s">
        <v>106</v>
      </c>
    </row>
    <row r="50" spans="1:10" x14ac:dyDescent="0.25">
      <c r="A50" t="s">
        <v>434</v>
      </c>
      <c r="B50" s="10" t="s">
        <v>306</v>
      </c>
      <c r="C50" s="10">
        <v>1</v>
      </c>
      <c r="D50" t="s">
        <v>223</v>
      </c>
      <c r="E50" t="s">
        <v>106</v>
      </c>
    </row>
    <row r="51" spans="1:10" x14ac:dyDescent="0.25">
      <c r="A51" t="s">
        <v>435</v>
      </c>
      <c r="B51" s="10" t="s">
        <v>305</v>
      </c>
      <c r="C51" s="10">
        <v>1</v>
      </c>
      <c r="D51" t="s">
        <v>224</v>
      </c>
      <c r="E51" t="s">
        <v>106</v>
      </c>
    </row>
    <row r="52" spans="1:10" x14ac:dyDescent="0.25">
      <c r="A52" t="s">
        <v>436</v>
      </c>
      <c r="B52" s="25" t="s">
        <v>304</v>
      </c>
      <c r="C52" s="25">
        <v>1</v>
      </c>
      <c r="D52" t="s">
        <v>225</v>
      </c>
      <c r="E52" t="s">
        <v>105</v>
      </c>
    </row>
    <row r="53" spans="1:10" x14ac:dyDescent="0.25">
      <c r="A53" t="s">
        <v>437</v>
      </c>
      <c r="B53" s="34" t="s">
        <v>187</v>
      </c>
      <c r="C53" s="34">
        <v>1</v>
      </c>
      <c r="D53" t="s">
        <v>226</v>
      </c>
      <c r="E53" t="s">
        <v>222</v>
      </c>
    </row>
    <row r="54" spans="1:10" x14ac:dyDescent="0.25">
      <c r="A54" t="s">
        <v>438</v>
      </c>
      <c r="B54" s="34" t="s">
        <v>186</v>
      </c>
      <c r="C54" s="34">
        <v>1</v>
      </c>
      <c r="D54" t="s">
        <v>227</v>
      </c>
      <c r="E54" t="s">
        <v>222</v>
      </c>
      <c r="J54">
        <v>29080</v>
      </c>
    </row>
    <row r="55" spans="1:10" x14ac:dyDescent="0.25">
      <c r="A55" t="s">
        <v>439</v>
      </c>
      <c r="B55" s="34" t="s">
        <v>187</v>
      </c>
      <c r="C55" s="34">
        <v>1</v>
      </c>
      <c r="D55" t="s">
        <v>228</v>
      </c>
      <c r="E55" t="s">
        <v>222</v>
      </c>
      <c r="J55">
        <f>12180/60</f>
        <v>203</v>
      </c>
    </row>
    <row r="56" spans="1:10" x14ac:dyDescent="0.25">
      <c r="A56" t="s">
        <v>440</v>
      </c>
      <c r="B56" s="25" t="s">
        <v>307</v>
      </c>
      <c r="C56" s="25">
        <v>1</v>
      </c>
      <c r="D56" t="s">
        <v>229</v>
      </c>
      <c r="E56" t="s">
        <v>106</v>
      </c>
      <c r="J56">
        <f>J54+J55</f>
        <v>29283</v>
      </c>
    </row>
    <row r="57" spans="1:10" x14ac:dyDescent="0.25">
      <c r="A57" t="s">
        <v>441</v>
      </c>
      <c r="B57" s="27" t="s">
        <v>308</v>
      </c>
      <c r="C57" s="27">
        <v>1</v>
      </c>
      <c r="D57" t="s">
        <v>230</v>
      </c>
      <c r="E57" t="s">
        <v>109</v>
      </c>
    </row>
    <row r="58" spans="1:10" x14ac:dyDescent="0.25">
      <c r="A58" t="s">
        <v>442</v>
      </c>
      <c r="B58" s="27" t="s">
        <v>309</v>
      </c>
      <c r="C58" s="27">
        <v>1</v>
      </c>
      <c r="D58" t="s">
        <v>277</v>
      </c>
      <c r="E58" t="s">
        <v>109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D13"/>
  <sheetViews>
    <sheetView workbookViewId="0">
      <selection activeCell="C17" sqref="C17"/>
    </sheetView>
  </sheetViews>
  <sheetFormatPr defaultRowHeight="15" x14ac:dyDescent="0.25"/>
  <cols>
    <col min="1" max="1" width="9.140625" style="9"/>
    <col min="2" max="2" width="29" customWidth="1"/>
    <col min="3" max="3" width="27.7109375" customWidth="1"/>
    <col min="4" max="4" width="0" hidden="1" customWidth="1"/>
  </cols>
  <sheetData>
    <row r="3" spans="2:4" x14ac:dyDescent="0.25">
      <c r="B3" t="s">
        <v>192</v>
      </c>
      <c r="C3" t="s">
        <v>193</v>
      </c>
    </row>
    <row r="5" spans="2:4" x14ac:dyDescent="0.25">
      <c r="B5" t="s">
        <v>191</v>
      </c>
      <c r="C5" t="s">
        <v>193</v>
      </c>
    </row>
    <row r="7" spans="2:4" x14ac:dyDescent="0.25">
      <c r="B7" t="s">
        <v>189</v>
      </c>
    </row>
    <row r="10" spans="2:4" x14ac:dyDescent="0.25">
      <c r="B10" t="s">
        <v>190</v>
      </c>
      <c r="D10">
        <v>42</v>
      </c>
    </row>
    <row r="13" spans="2:4" x14ac:dyDescent="0.25">
      <c r="B13" t="s">
        <v>449</v>
      </c>
      <c r="D13">
        <v>1</v>
      </c>
    </row>
  </sheetData>
  <pageMargins left="0.7" right="0.7" top="0.75" bottom="0.75" header="0.3" footer="0.3"/>
  <pageSetup orientation="portrait" horizontalDpi="300" verticalDpi="4294967293" r:id="rId1"/>
  <drawing r:id="rId2"/>
  <legacyDrawing r:id="rId3"/>
  <controls>
    <mc:AlternateContent xmlns:mc="http://schemas.openxmlformats.org/markup-compatibility/2006">
      <mc:Choice Requires="x14">
        <control shapeId="1027" r:id="rId4" name="GO">
          <controlPr defaultSize="0" autoLine="0" r:id="rId5">
            <anchor moveWithCells="1">
              <from>
                <xdr:col>1</xdr:col>
                <xdr:colOff>1914525</xdr:colOff>
                <xdr:row>17</xdr:row>
                <xdr:rowOff>9525</xdr:rowOff>
              </from>
              <to>
                <xdr:col>2</xdr:col>
                <xdr:colOff>1828800</xdr:colOff>
                <xdr:row>18</xdr:row>
                <xdr:rowOff>180975</xdr:rowOff>
              </to>
            </anchor>
          </controlPr>
        </control>
      </mc:Choice>
      <mc:Fallback>
        <control shapeId="1027" r:id="rId4" name="GO"/>
      </mc:Fallback>
    </mc:AlternateContent>
    <mc:AlternateContent xmlns:mc="http://schemas.openxmlformats.org/markup-compatibility/2006">
      <mc:Choice Requires="x14">
        <control shapeId="1025" r:id="rId6" name="Drop Down 1">
          <controlPr locked="0" defaultSize="0" autoLine="0" autoPict="0" macro="[0]!DropDown1_Change">
            <anchor moveWithCells="1">
              <from>
                <xdr:col>2</xdr:col>
                <xdr:colOff>0</xdr:colOff>
                <xdr:row>5</xdr:row>
                <xdr:rowOff>161925</xdr:rowOff>
              </from>
              <to>
                <xdr:col>2</xdr:col>
                <xdr:colOff>1819275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Drop Down 2">
          <controlPr defaultSize="0" autoLine="0" autoPict="0">
            <anchor moveWithCells="1">
              <from>
                <xdr:col>2</xdr:col>
                <xdr:colOff>0</xdr:colOff>
                <xdr:row>9</xdr:row>
                <xdr:rowOff>9525</xdr:rowOff>
              </from>
              <to>
                <xdr:col>4</xdr:col>
                <xdr:colOff>19050</xdr:colOff>
                <xdr:row>10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Drop Down 8">
          <controlPr defaultSize="0" autoLine="0" autoPict="0" macro="[0]!DropDown8_Change">
            <anchor moveWithCells="1">
              <from>
                <xdr:col>1</xdr:col>
                <xdr:colOff>1905000</xdr:colOff>
                <xdr:row>11</xdr:row>
                <xdr:rowOff>180975</xdr:rowOff>
              </from>
              <to>
                <xdr:col>2</xdr:col>
                <xdr:colOff>1838325</xdr:colOff>
                <xdr:row>13</xdr:row>
                <xdr:rowOff>38100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11"/>
  <sheetViews>
    <sheetView workbookViewId="0">
      <selection activeCell="A11" sqref="A11"/>
    </sheetView>
  </sheetViews>
  <sheetFormatPr defaultColWidth="27.42578125" defaultRowHeight="15" x14ac:dyDescent="0.25"/>
  <sheetData>
    <row r="2" spans="1:2" x14ac:dyDescent="0.25">
      <c r="A2">
        <v>140000</v>
      </c>
      <c r="B2" t="s">
        <v>443</v>
      </c>
    </row>
    <row r="3" spans="1:2" x14ac:dyDescent="0.25">
      <c r="A3">
        <v>2500</v>
      </c>
      <c r="B3" t="s">
        <v>444</v>
      </c>
    </row>
    <row r="4" spans="1:2" x14ac:dyDescent="0.25">
      <c r="A4">
        <f>A2/A3</f>
        <v>56</v>
      </c>
      <c r="B4" t="s">
        <v>445</v>
      </c>
    </row>
    <row r="6" spans="1:2" x14ac:dyDescent="0.25">
      <c r="A6">
        <v>100000</v>
      </c>
      <c r="B6" t="s">
        <v>446</v>
      </c>
    </row>
    <row r="9" spans="1:2" x14ac:dyDescent="0.25">
      <c r="A9" t="s">
        <v>450</v>
      </c>
    </row>
    <row r="10" spans="1:2" x14ac:dyDescent="0.25">
      <c r="A10" t="s">
        <v>451</v>
      </c>
    </row>
    <row r="11" spans="1:2" x14ac:dyDescent="0.25">
      <c r="A11" t="s">
        <v>452</v>
      </c>
    </row>
  </sheetData>
  <sortState ref="B2:W19">
    <sortCondition ref="I2:I19"/>
  </sortState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66"/>
  <sheetViews>
    <sheetView workbookViewId="0">
      <selection activeCell="B14" sqref="B14"/>
    </sheetView>
  </sheetViews>
  <sheetFormatPr defaultRowHeight="15" x14ac:dyDescent="0.25"/>
  <cols>
    <col min="1" max="1" width="47.140625" customWidth="1"/>
  </cols>
  <sheetData>
    <row r="1" spans="1:1" x14ac:dyDescent="0.25">
      <c r="A1" t="s">
        <v>320</v>
      </c>
    </row>
    <row r="2" spans="1:1" x14ac:dyDescent="0.25">
      <c r="A2" t="s">
        <v>321</v>
      </c>
    </row>
    <row r="3" spans="1:1" x14ac:dyDescent="0.25">
      <c r="A3" t="s">
        <v>322</v>
      </c>
    </row>
    <row r="4" spans="1:1" x14ac:dyDescent="0.25">
      <c r="A4" t="s">
        <v>323</v>
      </c>
    </row>
    <row r="5" spans="1:1" x14ac:dyDescent="0.25">
      <c r="A5" t="s">
        <v>324</v>
      </c>
    </row>
    <row r="6" spans="1:1" x14ac:dyDescent="0.25">
      <c r="A6" t="s">
        <v>325</v>
      </c>
    </row>
    <row r="7" spans="1:1" x14ac:dyDescent="0.25">
      <c r="A7" t="s">
        <v>326</v>
      </c>
    </row>
    <row r="8" spans="1:1" x14ac:dyDescent="0.25">
      <c r="A8" t="s">
        <v>327</v>
      </c>
    </row>
    <row r="9" spans="1:1" x14ac:dyDescent="0.25">
      <c r="A9" t="s">
        <v>328</v>
      </c>
    </row>
    <row r="10" spans="1:1" x14ac:dyDescent="0.25">
      <c r="A10" t="s">
        <v>329</v>
      </c>
    </row>
    <row r="11" spans="1:1" x14ac:dyDescent="0.25">
      <c r="A11" t="s">
        <v>330</v>
      </c>
    </row>
    <row r="12" spans="1:1" x14ac:dyDescent="0.25">
      <c r="A12" t="s">
        <v>331</v>
      </c>
    </row>
    <row r="13" spans="1:1" x14ac:dyDescent="0.25">
      <c r="A13" t="s">
        <v>332</v>
      </c>
    </row>
    <row r="14" spans="1:1" x14ac:dyDescent="0.25">
      <c r="A14" t="s">
        <v>333</v>
      </c>
    </row>
    <row r="15" spans="1:1" x14ac:dyDescent="0.25">
      <c r="A15" t="s">
        <v>334</v>
      </c>
    </row>
    <row r="16" spans="1:1" x14ac:dyDescent="0.25">
      <c r="A16" t="s">
        <v>335</v>
      </c>
    </row>
    <row r="17" spans="1:1" x14ac:dyDescent="0.25">
      <c r="A17" t="s">
        <v>336</v>
      </c>
    </row>
    <row r="18" spans="1:1" x14ac:dyDescent="0.25">
      <c r="A18" t="s">
        <v>337</v>
      </c>
    </row>
    <row r="19" spans="1:1" x14ac:dyDescent="0.25">
      <c r="A19" t="s">
        <v>338</v>
      </c>
    </row>
    <row r="20" spans="1:1" x14ac:dyDescent="0.25">
      <c r="A20" t="s">
        <v>339</v>
      </c>
    </row>
    <row r="21" spans="1:1" x14ac:dyDescent="0.25">
      <c r="A21" t="s">
        <v>340</v>
      </c>
    </row>
    <row r="22" spans="1:1" x14ac:dyDescent="0.25">
      <c r="A22" t="s">
        <v>341</v>
      </c>
    </row>
    <row r="23" spans="1:1" x14ac:dyDescent="0.25">
      <c r="A23" t="s">
        <v>342</v>
      </c>
    </row>
    <row r="24" spans="1:1" x14ac:dyDescent="0.25">
      <c r="A24" t="s">
        <v>343</v>
      </c>
    </row>
    <row r="25" spans="1:1" x14ac:dyDescent="0.25">
      <c r="A25" t="s">
        <v>344</v>
      </c>
    </row>
    <row r="26" spans="1:1" x14ac:dyDescent="0.25">
      <c r="A26" t="s">
        <v>345</v>
      </c>
    </row>
    <row r="27" spans="1:1" x14ac:dyDescent="0.25">
      <c r="A27" t="s">
        <v>346</v>
      </c>
    </row>
    <row r="28" spans="1:1" x14ac:dyDescent="0.25">
      <c r="A28" t="s">
        <v>347</v>
      </c>
    </row>
    <row r="29" spans="1:1" x14ac:dyDescent="0.25">
      <c r="A29" t="s">
        <v>348</v>
      </c>
    </row>
    <row r="30" spans="1:1" x14ac:dyDescent="0.25">
      <c r="A30" t="s">
        <v>349</v>
      </c>
    </row>
    <row r="31" spans="1:1" x14ac:dyDescent="0.25">
      <c r="A31" t="s">
        <v>350</v>
      </c>
    </row>
    <row r="32" spans="1:1" x14ac:dyDescent="0.25">
      <c r="A32" t="s">
        <v>351</v>
      </c>
    </row>
    <row r="33" spans="1:1" x14ac:dyDescent="0.25">
      <c r="A33" t="s">
        <v>352</v>
      </c>
    </row>
    <row r="34" spans="1:1" x14ac:dyDescent="0.25">
      <c r="A34" t="s">
        <v>353</v>
      </c>
    </row>
    <row r="35" spans="1:1" x14ac:dyDescent="0.25">
      <c r="A35" t="s">
        <v>354</v>
      </c>
    </row>
    <row r="36" spans="1:1" x14ac:dyDescent="0.25">
      <c r="A36" t="s">
        <v>355</v>
      </c>
    </row>
    <row r="37" spans="1:1" x14ac:dyDescent="0.25">
      <c r="A37" t="s">
        <v>356</v>
      </c>
    </row>
    <row r="38" spans="1:1" x14ac:dyDescent="0.25">
      <c r="A38" t="s">
        <v>357</v>
      </c>
    </row>
    <row r="39" spans="1:1" x14ac:dyDescent="0.25">
      <c r="A39" t="s">
        <v>358</v>
      </c>
    </row>
    <row r="40" spans="1:1" x14ac:dyDescent="0.25">
      <c r="A40" t="s">
        <v>359</v>
      </c>
    </row>
    <row r="41" spans="1:1" x14ac:dyDescent="0.25">
      <c r="A41" t="s">
        <v>360</v>
      </c>
    </row>
    <row r="42" spans="1:1" x14ac:dyDescent="0.25">
      <c r="A42" t="s">
        <v>361</v>
      </c>
    </row>
    <row r="43" spans="1:1" x14ac:dyDescent="0.25">
      <c r="A43" t="s">
        <v>362</v>
      </c>
    </row>
    <row r="44" spans="1:1" x14ac:dyDescent="0.25">
      <c r="A44" t="s">
        <v>363</v>
      </c>
    </row>
    <row r="45" spans="1:1" x14ac:dyDescent="0.25">
      <c r="A45" s="8" t="s">
        <v>364</v>
      </c>
    </row>
    <row r="46" spans="1:1" x14ac:dyDescent="0.25">
      <c r="A46" t="s">
        <v>365</v>
      </c>
    </row>
    <row r="47" spans="1:1" x14ac:dyDescent="0.25">
      <c r="A47" t="s">
        <v>366</v>
      </c>
    </row>
    <row r="48" spans="1:1" x14ac:dyDescent="0.25">
      <c r="A48" t="s">
        <v>367</v>
      </c>
    </row>
    <row r="49" spans="1:1" x14ac:dyDescent="0.25">
      <c r="A49" t="s">
        <v>368</v>
      </c>
    </row>
    <row r="50" spans="1:1" x14ac:dyDescent="0.25">
      <c r="A50" t="s">
        <v>369</v>
      </c>
    </row>
    <row r="51" spans="1:1" x14ac:dyDescent="0.25">
      <c r="A51" t="s">
        <v>370</v>
      </c>
    </row>
    <row r="52" spans="1:1" x14ac:dyDescent="0.25">
      <c r="A52" t="s">
        <v>371</v>
      </c>
    </row>
    <row r="53" spans="1:1" x14ac:dyDescent="0.25">
      <c r="A53" t="s">
        <v>372</v>
      </c>
    </row>
    <row r="54" spans="1:1" x14ac:dyDescent="0.25">
      <c r="A54" t="s">
        <v>373</v>
      </c>
    </row>
    <row r="55" spans="1:1" x14ac:dyDescent="0.25">
      <c r="A55" t="s">
        <v>374</v>
      </c>
    </row>
    <row r="56" spans="1:1" x14ac:dyDescent="0.25">
      <c r="A56" t="s">
        <v>375</v>
      </c>
    </row>
    <row r="57" spans="1:1" x14ac:dyDescent="0.25">
      <c r="A57" t="s">
        <v>376</v>
      </c>
    </row>
    <row r="58" spans="1:1" x14ac:dyDescent="0.25">
      <c r="A58" t="s">
        <v>377</v>
      </c>
    </row>
    <row r="59" spans="1:1" x14ac:dyDescent="0.25">
      <c r="A59" t="s">
        <v>378</v>
      </c>
    </row>
    <row r="60" spans="1:1" x14ac:dyDescent="0.25">
      <c r="A60" t="s">
        <v>379</v>
      </c>
    </row>
    <row r="61" spans="1:1" x14ac:dyDescent="0.25">
      <c r="A61" t="s">
        <v>380</v>
      </c>
    </row>
    <row r="62" spans="1:1" x14ac:dyDescent="0.25">
      <c r="A62" t="s">
        <v>381</v>
      </c>
    </row>
    <row r="63" spans="1:1" x14ac:dyDescent="0.25">
      <c r="A63" t="s">
        <v>382</v>
      </c>
    </row>
    <row r="64" spans="1:1" x14ac:dyDescent="0.25">
      <c r="A64" t="s">
        <v>383</v>
      </c>
    </row>
    <row r="65" spans="1:1" x14ac:dyDescent="0.25">
      <c r="A65" t="s">
        <v>384</v>
      </c>
    </row>
    <row r="66" spans="1:1" x14ac:dyDescent="0.25">
      <c r="A66" t="s">
        <v>385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00"/>
  <sheetViews>
    <sheetView workbookViewId="0">
      <selection activeCell="D22" sqref="D22"/>
    </sheetView>
  </sheetViews>
  <sheetFormatPr defaultRowHeight="15" x14ac:dyDescent="0.25"/>
  <cols>
    <col min="1" max="1" width="9.140625" style="9"/>
    <col min="2" max="2" width="28.140625" customWidth="1"/>
    <col min="3" max="3" width="38.7109375" customWidth="1"/>
    <col min="4" max="4" width="51.85546875" customWidth="1"/>
    <col min="5" max="5" width="27.42578125" style="9" customWidth="1"/>
    <col min="6" max="6" width="21.7109375" style="22" customWidth="1"/>
    <col min="7" max="7" width="22.28515625" style="22" customWidth="1"/>
    <col min="8" max="8" width="18.140625" customWidth="1"/>
    <col min="9" max="9" width="41.140625" customWidth="1"/>
  </cols>
  <sheetData>
    <row r="1" spans="1:11" s="13" customFormat="1" x14ac:dyDescent="0.25">
      <c r="A1" s="20" t="s">
        <v>231</v>
      </c>
      <c r="B1" s="20" t="s">
        <v>232</v>
      </c>
      <c r="C1" s="20" t="s">
        <v>257</v>
      </c>
      <c r="D1" s="20" t="s">
        <v>69</v>
      </c>
      <c r="E1" s="23" t="s">
        <v>233</v>
      </c>
      <c r="F1" s="24" t="s">
        <v>259</v>
      </c>
      <c r="G1" s="24" t="s">
        <v>258</v>
      </c>
      <c r="I1" s="13" t="s">
        <v>260</v>
      </c>
    </row>
    <row r="2" spans="1:11" x14ac:dyDescent="0.25">
      <c r="A2">
        <v>0</v>
      </c>
      <c r="B2" t="s">
        <v>235</v>
      </c>
      <c r="C2" t="s">
        <v>105</v>
      </c>
      <c r="D2" t="s">
        <v>261</v>
      </c>
      <c r="E2"/>
    </row>
    <row r="3" spans="1:11" x14ac:dyDescent="0.25">
      <c r="A3"/>
      <c r="E3"/>
    </row>
    <row r="4" spans="1:11" x14ac:dyDescent="0.25">
      <c r="A4">
        <v>1.1000000000000001</v>
      </c>
      <c r="B4" t="s">
        <v>236</v>
      </c>
      <c r="C4" t="s">
        <v>422</v>
      </c>
      <c r="D4" t="s">
        <v>304</v>
      </c>
      <c r="E4"/>
    </row>
    <row r="5" spans="1:11" x14ac:dyDescent="0.25">
      <c r="A5">
        <v>1.1000000000000001</v>
      </c>
      <c r="B5" t="s">
        <v>237</v>
      </c>
      <c r="C5" t="s">
        <v>201</v>
      </c>
      <c r="D5" t="s">
        <v>271</v>
      </c>
      <c r="E5" t="s">
        <v>6</v>
      </c>
    </row>
    <row r="6" spans="1:11" x14ac:dyDescent="0.25">
      <c r="A6">
        <v>1.1000000000000001</v>
      </c>
      <c r="B6" t="s">
        <v>238</v>
      </c>
      <c r="C6" t="s">
        <v>204</v>
      </c>
      <c r="D6" t="s">
        <v>296</v>
      </c>
      <c r="E6"/>
    </row>
    <row r="7" spans="1:11" x14ac:dyDescent="0.25">
      <c r="A7">
        <v>1.1000000000000001</v>
      </c>
      <c r="B7" t="s">
        <v>235</v>
      </c>
      <c r="C7" t="s">
        <v>97</v>
      </c>
      <c r="D7" t="s">
        <v>278</v>
      </c>
      <c r="E7"/>
      <c r="I7" t="s">
        <v>105</v>
      </c>
      <c r="K7" s="7"/>
    </row>
    <row r="8" spans="1:11" x14ac:dyDescent="0.25">
      <c r="A8"/>
      <c r="E8"/>
    </row>
    <row r="9" spans="1:11" x14ac:dyDescent="0.25">
      <c r="A9">
        <v>1.2</v>
      </c>
      <c r="B9" t="s">
        <v>236</v>
      </c>
      <c r="C9" t="s">
        <v>423</v>
      </c>
      <c r="D9" t="s">
        <v>303</v>
      </c>
      <c r="E9"/>
    </row>
    <row r="10" spans="1:11" x14ac:dyDescent="0.25">
      <c r="A10">
        <v>1.2</v>
      </c>
      <c r="B10" t="s">
        <v>237</v>
      </c>
      <c r="C10" t="s">
        <v>202</v>
      </c>
      <c r="D10" t="s">
        <v>272</v>
      </c>
      <c r="E10" t="s">
        <v>6</v>
      </c>
    </row>
    <row r="11" spans="1:11" x14ac:dyDescent="0.25">
      <c r="A11">
        <v>1.2</v>
      </c>
      <c r="B11" t="s">
        <v>238</v>
      </c>
      <c r="C11" t="s">
        <v>205</v>
      </c>
      <c r="D11" t="s">
        <v>297</v>
      </c>
      <c r="E11"/>
    </row>
    <row r="12" spans="1:11" x14ac:dyDescent="0.25">
      <c r="A12">
        <v>1.2</v>
      </c>
      <c r="B12" t="s">
        <v>235</v>
      </c>
      <c r="C12" t="s">
        <v>213</v>
      </c>
      <c r="D12" t="s">
        <v>279</v>
      </c>
      <c r="E12"/>
      <c r="I12" t="s">
        <v>105</v>
      </c>
    </row>
    <row r="13" spans="1:11" x14ac:dyDescent="0.25">
      <c r="A13"/>
      <c r="E13"/>
    </row>
    <row r="14" spans="1:11" x14ac:dyDescent="0.25">
      <c r="A14">
        <v>1.3</v>
      </c>
      <c r="B14" t="s">
        <v>236</v>
      </c>
      <c r="C14" t="s">
        <v>424</v>
      </c>
      <c r="D14" t="s">
        <v>304</v>
      </c>
      <c r="E14"/>
    </row>
    <row r="15" spans="1:11" x14ac:dyDescent="0.25">
      <c r="A15">
        <v>1.3</v>
      </c>
      <c r="B15" t="s">
        <v>237</v>
      </c>
      <c r="C15" t="s">
        <v>203</v>
      </c>
      <c r="D15" t="s">
        <v>271</v>
      </c>
      <c r="E15" t="s">
        <v>6</v>
      </c>
    </row>
    <row r="16" spans="1:11" x14ac:dyDescent="0.25">
      <c r="A16">
        <v>1.3</v>
      </c>
      <c r="B16" t="s">
        <v>238</v>
      </c>
      <c r="C16" t="s">
        <v>206</v>
      </c>
      <c r="D16" t="s">
        <v>296</v>
      </c>
      <c r="E16"/>
    </row>
    <row r="17" spans="1:9" x14ac:dyDescent="0.25">
      <c r="A17">
        <v>1.3</v>
      </c>
      <c r="B17" t="s">
        <v>235</v>
      </c>
      <c r="C17" t="s">
        <v>98</v>
      </c>
      <c r="D17" t="s">
        <v>280</v>
      </c>
      <c r="E17"/>
      <c r="I17" t="s">
        <v>105</v>
      </c>
    </row>
    <row r="18" spans="1:9" x14ac:dyDescent="0.25">
      <c r="A18"/>
      <c r="E18"/>
    </row>
    <row r="19" spans="1:9" x14ac:dyDescent="0.25">
      <c r="A19">
        <v>1.4</v>
      </c>
      <c r="B19" t="s">
        <v>236</v>
      </c>
      <c r="C19" t="s">
        <v>436</v>
      </c>
      <c r="D19" t="s">
        <v>304</v>
      </c>
      <c r="E19"/>
    </row>
    <row r="20" spans="1:9" x14ac:dyDescent="0.25">
      <c r="A20">
        <v>1.4</v>
      </c>
      <c r="B20" t="s">
        <v>237</v>
      </c>
      <c r="C20" t="s">
        <v>225</v>
      </c>
      <c r="D20" t="s">
        <v>271</v>
      </c>
      <c r="E20" t="s">
        <v>6</v>
      </c>
    </row>
    <row r="21" spans="1:9" x14ac:dyDescent="0.25">
      <c r="A21">
        <v>1.4</v>
      </c>
      <c r="B21" t="s">
        <v>238</v>
      </c>
      <c r="C21" t="s">
        <v>313</v>
      </c>
      <c r="D21" t="s">
        <v>300</v>
      </c>
      <c r="E21"/>
    </row>
    <row r="22" spans="1:9" x14ac:dyDescent="0.25">
      <c r="A22">
        <v>1.4</v>
      </c>
      <c r="B22" t="s">
        <v>235</v>
      </c>
      <c r="C22" t="s">
        <v>103</v>
      </c>
      <c r="D22" t="s">
        <v>293</v>
      </c>
      <c r="E22"/>
      <c r="I22" t="s">
        <v>105</v>
      </c>
    </row>
    <row r="23" spans="1:9" x14ac:dyDescent="0.25">
      <c r="A23"/>
      <c r="E23"/>
    </row>
    <row r="24" spans="1:9" x14ac:dyDescent="0.25">
      <c r="A24">
        <v>2.1</v>
      </c>
      <c r="B24" t="s">
        <v>236</v>
      </c>
      <c r="C24" t="s">
        <v>404</v>
      </c>
      <c r="D24" t="s">
        <v>180</v>
      </c>
      <c r="E24"/>
    </row>
    <row r="25" spans="1:9" x14ac:dyDescent="0.25">
      <c r="A25">
        <v>2.1</v>
      </c>
      <c r="B25" t="s">
        <v>237</v>
      </c>
      <c r="C25" t="s">
        <v>125</v>
      </c>
      <c r="D25" t="s">
        <v>198</v>
      </c>
      <c r="E25" t="s">
        <v>6</v>
      </c>
    </row>
    <row r="26" spans="1:9" x14ac:dyDescent="0.25">
      <c r="A26">
        <v>2.1</v>
      </c>
      <c r="B26" t="s">
        <v>238</v>
      </c>
      <c r="C26" t="s">
        <v>143</v>
      </c>
      <c r="D26" t="s">
        <v>178</v>
      </c>
      <c r="E26"/>
    </row>
    <row r="27" spans="1:9" x14ac:dyDescent="0.25">
      <c r="A27">
        <v>2.1</v>
      </c>
      <c r="B27" t="s">
        <v>235</v>
      </c>
      <c r="C27" t="s">
        <v>79</v>
      </c>
      <c r="D27" t="s">
        <v>239</v>
      </c>
      <c r="E27"/>
      <c r="I27" t="s">
        <v>97</v>
      </c>
    </row>
    <row r="28" spans="1:9" x14ac:dyDescent="0.25">
      <c r="A28"/>
      <c r="E28"/>
    </row>
    <row r="29" spans="1:9" x14ac:dyDescent="0.25">
      <c r="A29">
        <v>2.2000000000000002</v>
      </c>
      <c r="B29" t="s">
        <v>236</v>
      </c>
      <c r="C29" t="s">
        <v>405</v>
      </c>
      <c r="D29" t="s">
        <v>181</v>
      </c>
      <c r="E29"/>
    </row>
    <row r="30" spans="1:9" x14ac:dyDescent="0.25">
      <c r="A30">
        <v>2.2000000000000002</v>
      </c>
      <c r="B30" t="s">
        <v>237</v>
      </c>
      <c r="C30" t="s">
        <v>126</v>
      </c>
      <c r="D30" t="s">
        <v>197</v>
      </c>
      <c r="E30" t="s">
        <v>6</v>
      </c>
    </row>
    <row r="31" spans="1:9" x14ac:dyDescent="0.25">
      <c r="A31">
        <v>2.2000000000000002</v>
      </c>
      <c r="B31" t="s">
        <v>238</v>
      </c>
      <c r="C31" t="s">
        <v>144</v>
      </c>
      <c r="D31" t="s">
        <v>177</v>
      </c>
      <c r="E31"/>
    </row>
    <row r="32" spans="1:9" x14ac:dyDescent="0.25">
      <c r="A32">
        <v>2.2000000000000002</v>
      </c>
      <c r="B32" t="s">
        <v>235</v>
      </c>
      <c r="C32" t="s">
        <v>80</v>
      </c>
      <c r="D32" t="s">
        <v>240</v>
      </c>
      <c r="E32"/>
      <c r="I32" t="s">
        <v>213</v>
      </c>
    </row>
    <row r="33" spans="1:9" x14ac:dyDescent="0.25">
      <c r="A33"/>
      <c r="E33"/>
    </row>
    <row r="34" spans="1:9" x14ac:dyDescent="0.25">
      <c r="A34">
        <v>2.2999999999999998</v>
      </c>
      <c r="B34" t="s">
        <v>236</v>
      </c>
      <c r="C34" t="s">
        <v>406</v>
      </c>
      <c r="D34" t="s">
        <v>180</v>
      </c>
      <c r="E34"/>
    </row>
    <row r="35" spans="1:9" x14ac:dyDescent="0.25">
      <c r="A35">
        <v>2.2999999999999998</v>
      </c>
      <c r="B35" t="s">
        <v>237</v>
      </c>
      <c r="C35" t="s">
        <v>127</v>
      </c>
      <c r="D35" t="s">
        <v>198</v>
      </c>
      <c r="E35" t="s">
        <v>6</v>
      </c>
    </row>
    <row r="36" spans="1:9" x14ac:dyDescent="0.25">
      <c r="A36">
        <v>2.2999999999999998</v>
      </c>
      <c r="B36" t="s">
        <v>238</v>
      </c>
      <c r="C36" t="s">
        <v>145</v>
      </c>
      <c r="D36" t="s">
        <v>178</v>
      </c>
      <c r="E36"/>
    </row>
    <row r="37" spans="1:9" x14ac:dyDescent="0.25">
      <c r="A37">
        <v>2.2999999999999998</v>
      </c>
      <c r="B37" t="s">
        <v>235</v>
      </c>
      <c r="C37" t="s">
        <v>81</v>
      </c>
      <c r="D37" t="s">
        <v>241</v>
      </c>
      <c r="E37"/>
      <c r="I37" t="s">
        <v>98</v>
      </c>
    </row>
    <row r="38" spans="1:9" x14ac:dyDescent="0.25">
      <c r="A38"/>
      <c r="E38"/>
    </row>
    <row r="39" spans="1:9" x14ac:dyDescent="0.25">
      <c r="A39">
        <v>2.4</v>
      </c>
      <c r="B39" t="s">
        <v>236</v>
      </c>
      <c r="C39" t="s">
        <v>418</v>
      </c>
      <c r="D39" t="s">
        <v>180</v>
      </c>
      <c r="E39"/>
    </row>
    <row r="40" spans="1:9" x14ac:dyDescent="0.25">
      <c r="A40">
        <v>2.4</v>
      </c>
      <c r="B40" t="s">
        <v>237</v>
      </c>
      <c r="C40" t="s">
        <v>139</v>
      </c>
      <c r="D40" t="s">
        <v>198</v>
      </c>
      <c r="E40" t="s">
        <v>6</v>
      </c>
    </row>
    <row r="41" spans="1:9" x14ac:dyDescent="0.25">
      <c r="A41">
        <v>2.4</v>
      </c>
      <c r="B41" t="s">
        <v>238</v>
      </c>
      <c r="C41" t="s">
        <v>88</v>
      </c>
      <c r="D41" t="s">
        <v>178</v>
      </c>
      <c r="E41"/>
    </row>
    <row r="42" spans="1:9" x14ac:dyDescent="0.25">
      <c r="A42">
        <v>2.4</v>
      </c>
      <c r="B42" t="s">
        <v>235</v>
      </c>
      <c r="C42" t="s">
        <v>93</v>
      </c>
      <c r="D42" t="s">
        <v>253</v>
      </c>
      <c r="E42"/>
      <c r="I42" t="s">
        <v>103</v>
      </c>
    </row>
    <row r="43" spans="1:9" x14ac:dyDescent="0.25">
      <c r="A43"/>
      <c r="E43"/>
    </row>
    <row r="44" spans="1:9" x14ac:dyDescent="0.25">
      <c r="A44">
        <v>3.1</v>
      </c>
      <c r="B44" t="s">
        <v>236</v>
      </c>
      <c r="C44" t="s">
        <v>386</v>
      </c>
      <c r="D44" t="s">
        <v>234</v>
      </c>
      <c r="E44"/>
    </row>
    <row r="45" spans="1:9" x14ac:dyDescent="0.25">
      <c r="A45">
        <v>3.1</v>
      </c>
      <c r="B45" t="s">
        <v>237</v>
      </c>
      <c r="C45" t="s">
        <v>51</v>
      </c>
      <c r="D45" t="s">
        <v>196</v>
      </c>
      <c r="E45" t="s">
        <v>176</v>
      </c>
      <c r="F45" s="22">
        <v>41933.695775462962</v>
      </c>
      <c r="G45" s="22">
        <v>41933.718541666669</v>
      </c>
    </row>
    <row r="46" spans="1:9" x14ac:dyDescent="0.25">
      <c r="A46">
        <v>3.1</v>
      </c>
      <c r="B46" t="s">
        <v>238</v>
      </c>
      <c r="C46" t="s">
        <v>124</v>
      </c>
      <c r="D46" t="s">
        <v>156</v>
      </c>
      <c r="E46"/>
    </row>
    <row r="47" spans="1:9" x14ac:dyDescent="0.25">
      <c r="A47">
        <v>3.1</v>
      </c>
      <c r="B47" t="s">
        <v>235</v>
      </c>
      <c r="C47" t="s">
        <v>78</v>
      </c>
      <c r="D47" t="s">
        <v>155</v>
      </c>
      <c r="E47"/>
      <c r="I47" t="s">
        <v>79</v>
      </c>
    </row>
    <row r="48" spans="1:9" x14ac:dyDescent="0.25">
      <c r="A48"/>
      <c r="E48"/>
    </row>
    <row r="49" spans="1:9" x14ac:dyDescent="0.25">
      <c r="A49">
        <v>3.2</v>
      </c>
      <c r="B49" t="s">
        <v>236</v>
      </c>
      <c r="C49" t="s">
        <v>387</v>
      </c>
      <c r="D49" t="s">
        <v>234</v>
      </c>
      <c r="E49"/>
    </row>
    <row r="50" spans="1:9" x14ac:dyDescent="0.25">
      <c r="A50">
        <v>3.2</v>
      </c>
      <c r="B50" t="s">
        <v>237</v>
      </c>
      <c r="C50" t="s">
        <v>52</v>
      </c>
      <c r="D50" t="s">
        <v>196</v>
      </c>
      <c r="E50" t="s">
        <v>175</v>
      </c>
      <c r="F50" s="22">
        <v>41933.723680555559</v>
      </c>
      <c r="G50" s="22">
        <v>41933.750347222223</v>
      </c>
    </row>
    <row r="51" spans="1:9" x14ac:dyDescent="0.25">
      <c r="A51">
        <v>3.2</v>
      </c>
      <c r="B51" t="s">
        <v>238</v>
      </c>
      <c r="C51" t="s">
        <v>123</v>
      </c>
      <c r="D51" t="s">
        <v>156</v>
      </c>
      <c r="E51"/>
    </row>
    <row r="52" spans="1:9" x14ac:dyDescent="0.25">
      <c r="A52">
        <v>3.2</v>
      </c>
      <c r="B52" t="s">
        <v>235</v>
      </c>
      <c r="C52" t="s">
        <v>78</v>
      </c>
      <c r="D52" t="s">
        <v>155</v>
      </c>
      <c r="E52"/>
      <c r="I52" t="s">
        <v>80</v>
      </c>
    </row>
    <row r="53" spans="1:9" x14ac:dyDescent="0.25">
      <c r="A53"/>
      <c r="E53"/>
    </row>
    <row r="54" spans="1:9" x14ac:dyDescent="0.25">
      <c r="A54">
        <v>3.3</v>
      </c>
      <c r="B54" t="s">
        <v>236</v>
      </c>
      <c r="C54" t="s">
        <v>388</v>
      </c>
      <c r="D54" t="s">
        <v>234</v>
      </c>
      <c r="E54"/>
    </row>
    <row r="55" spans="1:9" x14ac:dyDescent="0.25">
      <c r="A55">
        <v>3.3</v>
      </c>
      <c r="B55" t="s">
        <v>237</v>
      </c>
      <c r="C55" t="s">
        <v>53</v>
      </c>
      <c r="D55" t="s">
        <v>196</v>
      </c>
      <c r="E55" t="s">
        <v>174</v>
      </c>
      <c r="F55" s="22">
        <v>41933.753125000003</v>
      </c>
      <c r="G55" s="22">
        <v>41933.782812500001</v>
      </c>
    </row>
    <row r="56" spans="1:9" x14ac:dyDescent="0.25">
      <c r="A56">
        <v>3.3</v>
      </c>
      <c r="B56" t="s">
        <v>238</v>
      </c>
      <c r="C56" t="s">
        <v>122</v>
      </c>
      <c r="D56" t="s">
        <v>156</v>
      </c>
      <c r="E56"/>
    </row>
    <row r="57" spans="1:9" x14ac:dyDescent="0.25">
      <c r="A57">
        <v>3.3</v>
      </c>
      <c r="B57" t="s">
        <v>235</v>
      </c>
      <c r="C57" t="s">
        <v>78</v>
      </c>
      <c r="D57" t="s">
        <v>155</v>
      </c>
      <c r="E57"/>
      <c r="I57" t="s">
        <v>81</v>
      </c>
    </row>
    <row r="58" spans="1:9" x14ac:dyDescent="0.25">
      <c r="A58"/>
      <c r="E58"/>
    </row>
    <row r="59" spans="1:9" x14ac:dyDescent="0.25">
      <c r="A59">
        <v>3.4</v>
      </c>
      <c r="B59" t="s">
        <v>236</v>
      </c>
      <c r="C59" t="s">
        <v>400</v>
      </c>
      <c r="D59" t="s">
        <v>234</v>
      </c>
      <c r="E59"/>
    </row>
    <row r="60" spans="1:9" x14ac:dyDescent="0.25">
      <c r="A60">
        <v>3.4</v>
      </c>
      <c r="B60" t="s">
        <v>237</v>
      </c>
      <c r="C60" t="s">
        <v>65</v>
      </c>
      <c r="D60" t="s">
        <v>196</v>
      </c>
      <c r="E60" t="s">
        <v>162</v>
      </c>
      <c r="F60" s="22">
        <v>41934.676990740743</v>
      </c>
      <c r="G60" s="22">
        <v>41934.700578703705</v>
      </c>
    </row>
    <row r="61" spans="1:9" x14ac:dyDescent="0.25">
      <c r="A61">
        <v>3.4</v>
      </c>
      <c r="B61" t="s">
        <v>238</v>
      </c>
      <c r="C61" t="s">
        <v>110</v>
      </c>
      <c r="D61" t="s">
        <v>156</v>
      </c>
      <c r="E61"/>
    </row>
    <row r="62" spans="1:9" x14ac:dyDescent="0.25">
      <c r="A62">
        <v>3.4</v>
      </c>
      <c r="B62" t="s">
        <v>235</v>
      </c>
      <c r="C62" t="s">
        <v>78</v>
      </c>
      <c r="D62" t="s">
        <v>155</v>
      </c>
      <c r="E62"/>
      <c r="I62" t="s">
        <v>93</v>
      </c>
    </row>
    <row r="63" spans="1:9" x14ac:dyDescent="0.25">
      <c r="A63"/>
      <c r="E63"/>
    </row>
    <row r="64" spans="1:9" x14ac:dyDescent="0.25">
      <c r="A64"/>
      <c r="E64"/>
    </row>
    <row r="65" spans="1:9" x14ac:dyDescent="0.25">
      <c r="A65"/>
      <c r="E65"/>
    </row>
    <row r="66" spans="1:9" x14ac:dyDescent="0.25">
      <c r="A66"/>
      <c r="E66"/>
    </row>
    <row r="67" spans="1:9" x14ac:dyDescent="0.25">
      <c r="A67"/>
      <c r="E67"/>
      <c r="I67" t="s">
        <v>97</v>
      </c>
    </row>
    <row r="68" spans="1:9" x14ac:dyDescent="0.25">
      <c r="A68"/>
      <c r="E68"/>
    </row>
    <row r="69" spans="1:9" x14ac:dyDescent="0.25">
      <c r="A69"/>
      <c r="E69"/>
    </row>
    <row r="70" spans="1:9" x14ac:dyDescent="0.25">
      <c r="A70"/>
      <c r="E70"/>
    </row>
    <row r="71" spans="1:9" x14ac:dyDescent="0.25">
      <c r="A71"/>
      <c r="E71"/>
    </row>
    <row r="72" spans="1:9" x14ac:dyDescent="0.25">
      <c r="A72"/>
      <c r="E72"/>
      <c r="I72" t="s">
        <v>213</v>
      </c>
    </row>
    <row r="73" spans="1:9" x14ac:dyDescent="0.25">
      <c r="A73"/>
      <c r="E73"/>
    </row>
    <row r="74" spans="1:9" x14ac:dyDescent="0.25">
      <c r="A74"/>
      <c r="E74"/>
    </row>
    <row r="75" spans="1:9" x14ac:dyDescent="0.25">
      <c r="A75"/>
      <c r="E75"/>
    </row>
    <row r="76" spans="1:9" x14ac:dyDescent="0.25">
      <c r="A76"/>
      <c r="E76"/>
    </row>
    <row r="77" spans="1:9" x14ac:dyDescent="0.25">
      <c r="A77"/>
      <c r="E77"/>
      <c r="I77" t="s">
        <v>98</v>
      </c>
    </row>
    <row r="78" spans="1:9" x14ac:dyDescent="0.25">
      <c r="A78"/>
      <c r="E78"/>
    </row>
    <row r="79" spans="1:9" x14ac:dyDescent="0.25">
      <c r="A79"/>
      <c r="E79"/>
    </row>
    <row r="80" spans="1:9" x14ac:dyDescent="0.25">
      <c r="A80"/>
      <c r="E80"/>
      <c r="F80" s="22">
        <v>41933.695775462962</v>
      </c>
      <c r="G80" s="22">
        <v>41933.718541666669</v>
      </c>
    </row>
    <row r="81" spans="1:9" x14ac:dyDescent="0.25">
      <c r="A81"/>
      <c r="E81"/>
    </row>
    <row r="82" spans="1:9" x14ac:dyDescent="0.25">
      <c r="A82"/>
      <c r="E82"/>
      <c r="I82" t="s">
        <v>103</v>
      </c>
    </row>
    <row r="83" spans="1:9" x14ac:dyDescent="0.25">
      <c r="A83"/>
      <c r="E83"/>
    </row>
    <row r="84" spans="1:9" x14ac:dyDescent="0.25">
      <c r="A84"/>
      <c r="E84"/>
    </row>
    <row r="85" spans="1:9" x14ac:dyDescent="0.25">
      <c r="A85"/>
      <c r="E85"/>
      <c r="F85" s="22">
        <v>41933.695775462962</v>
      </c>
      <c r="G85" s="22">
        <v>41933.718541666669</v>
      </c>
    </row>
    <row r="86" spans="1:9" x14ac:dyDescent="0.25">
      <c r="A86"/>
      <c r="E86"/>
    </row>
    <row r="87" spans="1:9" x14ac:dyDescent="0.25">
      <c r="A87"/>
      <c r="E87"/>
      <c r="I87" t="s">
        <v>97</v>
      </c>
    </row>
    <row r="88" spans="1:9" x14ac:dyDescent="0.25">
      <c r="A88"/>
      <c r="E88"/>
    </row>
    <row r="89" spans="1:9" x14ac:dyDescent="0.25">
      <c r="A89"/>
      <c r="E89"/>
    </row>
    <row r="90" spans="1:9" x14ac:dyDescent="0.25">
      <c r="A90"/>
      <c r="E90"/>
      <c r="F90" s="22">
        <v>41933.753125000003</v>
      </c>
      <c r="G90" s="22">
        <v>41933.782812500001</v>
      </c>
    </row>
    <row r="91" spans="1:9" x14ac:dyDescent="0.25">
      <c r="A91"/>
      <c r="E91"/>
    </row>
    <row r="92" spans="1:9" x14ac:dyDescent="0.25">
      <c r="A92"/>
      <c r="E92"/>
      <c r="I92" t="s">
        <v>213</v>
      </c>
    </row>
    <row r="93" spans="1:9" x14ac:dyDescent="0.25">
      <c r="A93"/>
      <c r="E93"/>
    </row>
    <row r="94" spans="1:9" x14ac:dyDescent="0.25">
      <c r="A94"/>
      <c r="E94"/>
    </row>
    <row r="95" spans="1:9" x14ac:dyDescent="0.25">
      <c r="A95"/>
      <c r="E95"/>
      <c r="F95" s="22">
        <v>41933.723680555559</v>
      </c>
      <c r="G95" s="22">
        <v>41933.750347222223</v>
      </c>
    </row>
    <row r="96" spans="1:9" x14ac:dyDescent="0.25">
      <c r="A96"/>
      <c r="E96"/>
    </row>
    <row r="97" spans="1:9" x14ac:dyDescent="0.25">
      <c r="A97"/>
      <c r="E97"/>
      <c r="I97" t="s">
        <v>98</v>
      </c>
    </row>
    <row r="98" spans="1:9" x14ac:dyDescent="0.25">
      <c r="A98"/>
      <c r="E98"/>
    </row>
    <row r="99" spans="1:9" x14ac:dyDescent="0.25">
      <c r="A99"/>
      <c r="E99"/>
    </row>
    <row r="100" spans="1:9" x14ac:dyDescent="0.25">
      <c r="A100"/>
      <c r="E100"/>
      <c r="F100" s="22">
        <v>41933.78665509259</v>
      </c>
      <c r="G100" s="22">
        <v>41933.808287037034</v>
      </c>
    </row>
    <row r="101" spans="1:9" x14ac:dyDescent="0.25">
      <c r="A101"/>
      <c r="E101"/>
    </row>
    <row r="102" spans="1:9" x14ac:dyDescent="0.25">
      <c r="A102"/>
      <c r="E102"/>
      <c r="I102" t="s">
        <v>103</v>
      </c>
    </row>
    <row r="103" spans="1:9" x14ac:dyDescent="0.25">
      <c r="A103"/>
      <c r="E103"/>
    </row>
    <row r="104" spans="1:9" x14ac:dyDescent="0.25">
      <c r="A104"/>
      <c r="E104"/>
    </row>
    <row r="105" spans="1:9" x14ac:dyDescent="0.25">
      <c r="A105"/>
      <c r="E105"/>
      <c r="F105" s="22">
        <v>41933.811585648145</v>
      </c>
      <c r="G105" s="22">
        <v>41933.827916666669</v>
      </c>
    </row>
    <row r="106" spans="1:9" x14ac:dyDescent="0.25">
      <c r="A106"/>
      <c r="E106"/>
    </row>
    <row r="107" spans="1:9" x14ac:dyDescent="0.25">
      <c r="A107"/>
      <c r="E107"/>
      <c r="I107" t="s">
        <v>97</v>
      </c>
    </row>
    <row r="108" spans="1:9" x14ac:dyDescent="0.25">
      <c r="A108"/>
      <c r="E108"/>
    </row>
    <row r="109" spans="1:9" x14ac:dyDescent="0.25">
      <c r="A109"/>
      <c r="E109"/>
    </row>
    <row r="110" spans="1:9" x14ac:dyDescent="0.25">
      <c r="A110"/>
      <c r="E110"/>
      <c r="F110" s="22">
        <v>41933.848391203705</v>
      </c>
      <c r="G110" s="22">
        <v>41933.870775462965</v>
      </c>
    </row>
    <row r="111" spans="1:9" x14ac:dyDescent="0.25">
      <c r="A111"/>
      <c r="E111"/>
    </row>
    <row r="112" spans="1:9" x14ac:dyDescent="0.25">
      <c r="A112"/>
      <c r="E112"/>
      <c r="I112" t="s">
        <v>213</v>
      </c>
    </row>
    <row r="113" spans="1:9" x14ac:dyDescent="0.25">
      <c r="A113"/>
      <c r="E113"/>
    </row>
    <row r="114" spans="1:9" x14ac:dyDescent="0.25">
      <c r="A114"/>
      <c r="E114"/>
    </row>
    <row r="115" spans="1:9" x14ac:dyDescent="0.25">
      <c r="A115"/>
      <c r="E115"/>
      <c r="F115" s="22">
        <v>41933.831296296295</v>
      </c>
      <c r="G115" s="22">
        <v>41933.845671296294</v>
      </c>
    </row>
    <row r="116" spans="1:9" x14ac:dyDescent="0.25">
      <c r="A116"/>
      <c r="E116"/>
    </row>
    <row r="117" spans="1:9" x14ac:dyDescent="0.25">
      <c r="A117"/>
      <c r="E117"/>
      <c r="I117" t="s">
        <v>98</v>
      </c>
    </row>
    <row r="118" spans="1:9" x14ac:dyDescent="0.25">
      <c r="A118"/>
      <c r="E118"/>
    </row>
    <row r="119" spans="1:9" x14ac:dyDescent="0.25">
      <c r="A119"/>
      <c r="E119"/>
    </row>
    <row r="120" spans="1:9" x14ac:dyDescent="0.25">
      <c r="A120"/>
      <c r="E120"/>
      <c r="F120" s="22">
        <v>41933.874085648145</v>
      </c>
      <c r="G120" s="22">
        <v>41933.890914351854</v>
      </c>
    </row>
    <row r="121" spans="1:9" x14ac:dyDescent="0.25">
      <c r="A121"/>
      <c r="E121"/>
    </row>
    <row r="122" spans="1:9" x14ac:dyDescent="0.25">
      <c r="A122"/>
      <c r="E122"/>
      <c r="I122" t="s">
        <v>103</v>
      </c>
    </row>
    <row r="123" spans="1:9" x14ac:dyDescent="0.25">
      <c r="A123"/>
      <c r="E123"/>
    </row>
    <row r="124" spans="1:9" x14ac:dyDescent="0.25">
      <c r="A124"/>
      <c r="E124"/>
    </row>
    <row r="125" spans="1:9" x14ac:dyDescent="0.25">
      <c r="A125"/>
      <c r="E125"/>
      <c r="F125" s="22">
        <v>41933.904849537037</v>
      </c>
      <c r="G125" s="22">
        <v>41933.931377314817</v>
      </c>
    </row>
    <row r="126" spans="1:9" x14ac:dyDescent="0.25">
      <c r="A126"/>
      <c r="E126"/>
    </row>
    <row r="127" spans="1:9" x14ac:dyDescent="0.25">
      <c r="A127"/>
      <c r="E127"/>
      <c r="I127" t="s">
        <v>87</v>
      </c>
    </row>
    <row r="128" spans="1:9" x14ac:dyDescent="0.25">
      <c r="A128"/>
      <c r="E128"/>
    </row>
    <row r="129" spans="1:9" x14ac:dyDescent="0.25">
      <c r="A129"/>
      <c r="E129"/>
    </row>
    <row r="130" spans="1:9" x14ac:dyDescent="0.25">
      <c r="A130"/>
      <c r="E130"/>
      <c r="F130" s="22">
        <v>41933.965567129628</v>
      </c>
      <c r="G130" s="22">
        <v>41933.979953703703</v>
      </c>
    </row>
    <row r="131" spans="1:9" x14ac:dyDescent="0.25">
      <c r="A131"/>
      <c r="E131"/>
    </row>
    <row r="132" spans="1:9" x14ac:dyDescent="0.25">
      <c r="A132"/>
      <c r="E132"/>
      <c r="I132" t="s">
        <v>89</v>
      </c>
    </row>
    <row r="133" spans="1:9" x14ac:dyDescent="0.25">
      <c r="A133"/>
      <c r="E133"/>
    </row>
    <row r="134" spans="1:9" x14ac:dyDescent="0.25">
      <c r="A134"/>
      <c r="E134"/>
    </row>
    <row r="135" spans="1:9" x14ac:dyDescent="0.25">
      <c r="A135"/>
      <c r="E135"/>
    </row>
    <row r="136" spans="1:9" x14ac:dyDescent="0.25">
      <c r="A136"/>
      <c r="E136"/>
    </row>
    <row r="137" spans="1:9" x14ac:dyDescent="0.25">
      <c r="A137"/>
      <c r="E137"/>
    </row>
    <row r="138" spans="1:9" x14ac:dyDescent="0.25">
      <c r="A138"/>
      <c r="E138"/>
    </row>
    <row r="139" spans="1:9" x14ac:dyDescent="0.25">
      <c r="A139"/>
      <c r="E139"/>
    </row>
    <row r="140" spans="1:9" x14ac:dyDescent="0.25">
      <c r="A140"/>
      <c r="E140"/>
    </row>
    <row r="141" spans="1:9" x14ac:dyDescent="0.25">
      <c r="A141"/>
      <c r="E141"/>
    </row>
    <row r="142" spans="1:9" x14ac:dyDescent="0.25">
      <c r="A142"/>
      <c r="E142"/>
    </row>
    <row r="143" spans="1:9" x14ac:dyDescent="0.25">
      <c r="A143"/>
      <c r="E143"/>
    </row>
    <row r="144" spans="1:9" x14ac:dyDescent="0.25">
      <c r="A144"/>
      <c r="E144"/>
    </row>
    <row r="145" spans="1:5" x14ac:dyDescent="0.25">
      <c r="A145"/>
      <c r="E145"/>
    </row>
    <row r="146" spans="1:5" x14ac:dyDescent="0.25">
      <c r="A146"/>
      <c r="E146"/>
    </row>
    <row r="147" spans="1:5" x14ac:dyDescent="0.25">
      <c r="A147"/>
      <c r="E147"/>
    </row>
    <row r="148" spans="1:5" x14ac:dyDescent="0.25">
      <c r="A148"/>
      <c r="E148"/>
    </row>
    <row r="149" spans="1:5" x14ac:dyDescent="0.25">
      <c r="A149"/>
      <c r="E149"/>
    </row>
    <row r="150" spans="1:5" x14ac:dyDescent="0.25">
      <c r="A150"/>
      <c r="E150"/>
    </row>
    <row r="151" spans="1:5" x14ac:dyDescent="0.25">
      <c r="A151"/>
      <c r="E151"/>
    </row>
    <row r="152" spans="1:5" x14ac:dyDescent="0.25">
      <c r="A152"/>
      <c r="E152"/>
    </row>
    <row r="153" spans="1:5" x14ac:dyDescent="0.25">
      <c r="A153"/>
      <c r="E153"/>
    </row>
    <row r="154" spans="1:5" x14ac:dyDescent="0.25">
      <c r="A154"/>
      <c r="E154"/>
    </row>
    <row r="155" spans="1:5" x14ac:dyDescent="0.25">
      <c r="A155"/>
      <c r="E155"/>
    </row>
    <row r="156" spans="1:5" x14ac:dyDescent="0.25">
      <c r="A156"/>
      <c r="E156"/>
    </row>
    <row r="157" spans="1:5" x14ac:dyDescent="0.25">
      <c r="A157"/>
      <c r="E157"/>
    </row>
    <row r="158" spans="1:5" x14ac:dyDescent="0.25">
      <c r="A158"/>
      <c r="E158"/>
    </row>
    <row r="159" spans="1:5" x14ac:dyDescent="0.25">
      <c r="A159"/>
      <c r="E159"/>
    </row>
    <row r="160" spans="1:5" x14ac:dyDescent="0.25">
      <c r="A160"/>
      <c r="E160"/>
    </row>
    <row r="161" spans="1:5" x14ac:dyDescent="0.25">
      <c r="A161"/>
      <c r="E161"/>
    </row>
    <row r="162" spans="1:5" x14ac:dyDescent="0.25">
      <c r="A162"/>
      <c r="E162"/>
    </row>
    <row r="163" spans="1:5" x14ac:dyDescent="0.25">
      <c r="A163"/>
      <c r="E163"/>
    </row>
    <row r="164" spans="1:5" x14ac:dyDescent="0.25">
      <c r="A164"/>
      <c r="E164"/>
    </row>
    <row r="165" spans="1:5" x14ac:dyDescent="0.25">
      <c r="A165"/>
      <c r="E165"/>
    </row>
    <row r="166" spans="1:5" x14ac:dyDescent="0.25">
      <c r="A166"/>
      <c r="E166"/>
    </row>
    <row r="167" spans="1:5" x14ac:dyDescent="0.25">
      <c r="A167"/>
      <c r="E167"/>
    </row>
    <row r="168" spans="1:5" x14ac:dyDescent="0.25">
      <c r="A168"/>
      <c r="E168"/>
    </row>
    <row r="169" spans="1:5" x14ac:dyDescent="0.25">
      <c r="A169"/>
      <c r="E169"/>
    </row>
    <row r="170" spans="1:5" x14ac:dyDescent="0.25">
      <c r="A170"/>
      <c r="E170"/>
    </row>
    <row r="171" spans="1:5" x14ac:dyDescent="0.25">
      <c r="A171"/>
      <c r="E171"/>
    </row>
    <row r="172" spans="1:5" x14ac:dyDescent="0.25">
      <c r="A172"/>
      <c r="E172"/>
    </row>
    <row r="173" spans="1:5" x14ac:dyDescent="0.25">
      <c r="A173"/>
      <c r="E173"/>
    </row>
    <row r="174" spans="1:5" x14ac:dyDescent="0.25">
      <c r="A174"/>
      <c r="E174"/>
    </row>
    <row r="175" spans="1:5" x14ac:dyDescent="0.25">
      <c r="A175"/>
      <c r="E175"/>
    </row>
    <row r="176" spans="1:5" x14ac:dyDescent="0.25">
      <c r="A176"/>
      <c r="E176"/>
    </row>
    <row r="177" spans="1:5" x14ac:dyDescent="0.25">
      <c r="A177"/>
      <c r="E177"/>
    </row>
    <row r="178" spans="1:5" x14ac:dyDescent="0.25">
      <c r="A178"/>
      <c r="E178"/>
    </row>
    <row r="179" spans="1:5" x14ac:dyDescent="0.25">
      <c r="A179"/>
      <c r="E179"/>
    </row>
    <row r="180" spans="1:5" x14ac:dyDescent="0.25">
      <c r="A180"/>
      <c r="E180"/>
    </row>
    <row r="181" spans="1:5" x14ac:dyDescent="0.25">
      <c r="A181"/>
      <c r="E181"/>
    </row>
    <row r="182" spans="1:5" x14ac:dyDescent="0.25">
      <c r="A182"/>
      <c r="E182"/>
    </row>
    <row r="183" spans="1:5" x14ac:dyDescent="0.25">
      <c r="A183"/>
      <c r="E183"/>
    </row>
    <row r="184" spans="1:5" x14ac:dyDescent="0.25">
      <c r="A184"/>
      <c r="E184"/>
    </row>
    <row r="185" spans="1:5" x14ac:dyDescent="0.25">
      <c r="A185"/>
      <c r="E185"/>
    </row>
    <row r="186" spans="1:5" x14ac:dyDescent="0.25">
      <c r="A186"/>
      <c r="E186"/>
    </row>
    <row r="187" spans="1:5" x14ac:dyDescent="0.25">
      <c r="A187"/>
      <c r="E187"/>
    </row>
    <row r="188" spans="1:5" x14ac:dyDescent="0.25">
      <c r="A188"/>
      <c r="E188"/>
    </row>
    <row r="189" spans="1:5" x14ac:dyDescent="0.25">
      <c r="A189"/>
      <c r="E189"/>
    </row>
    <row r="190" spans="1:5" x14ac:dyDescent="0.25">
      <c r="A190"/>
      <c r="E190"/>
    </row>
    <row r="191" spans="1:5" x14ac:dyDescent="0.25">
      <c r="A191"/>
      <c r="E191"/>
    </row>
    <row r="192" spans="1:5" x14ac:dyDescent="0.25">
      <c r="A192"/>
      <c r="E192"/>
    </row>
    <row r="193" spans="1:5" x14ac:dyDescent="0.25">
      <c r="A193"/>
      <c r="E193"/>
    </row>
    <row r="194" spans="1:5" x14ac:dyDescent="0.25">
      <c r="A194"/>
      <c r="E194"/>
    </row>
    <row r="195" spans="1:5" x14ac:dyDescent="0.25">
      <c r="A195"/>
      <c r="E195"/>
    </row>
    <row r="196" spans="1:5" x14ac:dyDescent="0.25">
      <c r="A196"/>
      <c r="E196"/>
    </row>
    <row r="197" spans="1:5" x14ac:dyDescent="0.25">
      <c r="A197"/>
      <c r="E197"/>
    </row>
    <row r="198" spans="1:5" x14ac:dyDescent="0.25">
      <c r="A198"/>
      <c r="E198"/>
    </row>
    <row r="199" spans="1:5" x14ac:dyDescent="0.25">
      <c r="A199"/>
      <c r="E199"/>
    </row>
    <row r="200" spans="1:5" x14ac:dyDescent="0.25">
      <c r="A200"/>
      <c r="E20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I16" sqref="I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Containers</vt:lpstr>
      <vt:lpstr>Log</vt:lpstr>
      <vt:lpstr>Loads</vt:lpstr>
      <vt:lpstr>UnloadEvent</vt:lpstr>
      <vt:lpstr>Sheet3</vt:lpstr>
      <vt:lpstr>TransferEvents</vt:lpstr>
      <vt:lpstr>LoadEvent</vt:lpstr>
      <vt:lpstr>Control</vt:lpstr>
      <vt:lpstr>Sheet1</vt:lpstr>
      <vt:lpstr>UUID List</vt:lpstr>
      <vt:lpstr>Dryer Use Case</vt:lpstr>
      <vt:lpstr>All to Elevator Use Case</vt:lpstr>
    </vt:vector>
  </TitlesOfParts>
  <Company>Topcon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Tevis</dc:creator>
  <cp:lastModifiedBy>Sean Hughes</cp:lastModifiedBy>
  <dcterms:created xsi:type="dcterms:W3CDTF">2016-12-13T20:32:25Z</dcterms:created>
  <dcterms:modified xsi:type="dcterms:W3CDTF">2017-01-29T09:00:09Z</dcterms:modified>
</cp:coreProperties>
</file>